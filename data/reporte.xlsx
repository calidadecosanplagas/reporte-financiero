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16290" yWindow="-2280" windowWidth="23250" windowHeight="12450"/>
  </bookViews>
  <sheets>
    <sheet name="Detalle Clientes" sheetId="23" r:id="rId1"/>
    <sheet name="Clientes Unicos" sheetId="24" r:id="rId2"/>
  </sheets>
  <calcPr calcId="162913"/>
</workbook>
</file>

<file path=xl/calcChain.xml><?xml version="1.0" encoding="utf-8"?>
<calcChain xmlns="http://schemas.openxmlformats.org/spreadsheetml/2006/main">
  <c r="D3" i="24" l="1"/>
  <c r="D4" i="24"/>
  <c r="D5" i="24"/>
  <c r="D6" i="24"/>
  <c r="D7" i="24"/>
  <c r="D8" i="24"/>
  <c r="D9" i="24"/>
  <c r="D10" i="24"/>
  <c r="P74" i="23"/>
  <c r="D2" i="24"/>
  <c r="N153" i="23"/>
  <c r="P153" i="23" s="1"/>
  <c r="N140" i="23"/>
  <c r="P140" i="23" s="1"/>
  <c r="N141" i="23"/>
  <c r="P141" i="23" s="1"/>
  <c r="N142" i="23"/>
  <c r="P142" i="23" s="1"/>
  <c r="N143" i="23"/>
  <c r="P143" i="23" s="1"/>
  <c r="N144" i="23"/>
  <c r="P144" i="23" s="1"/>
  <c r="N145" i="23"/>
  <c r="P145" i="23" s="1"/>
  <c r="N146" i="23"/>
  <c r="P146" i="23" s="1"/>
  <c r="N147" i="23"/>
  <c r="P147" i="23" s="1"/>
  <c r="N148" i="23"/>
  <c r="P148" i="23" s="1"/>
  <c r="N149" i="23"/>
  <c r="P149" i="23" s="1"/>
  <c r="N150" i="23"/>
  <c r="P150" i="23" s="1"/>
  <c r="N151" i="23"/>
  <c r="P151" i="23" s="1"/>
  <c r="N152" i="23"/>
  <c r="P152" i="23" s="1"/>
  <c r="N129" i="23"/>
  <c r="P129" i="23" s="1"/>
  <c r="N127" i="23"/>
  <c r="P127" i="23" s="1"/>
  <c r="N128" i="23"/>
  <c r="P128" i="23" s="1"/>
  <c r="N130" i="23"/>
  <c r="P130" i="23" s="1"/>
  <c r="N131" i="23"/>
  <c r="P131" i="23" s="1"/>
  <c r="N132" i="23"/>
  <c r="P132" i="23" s="1"/>
  <c r="N133" i="23"/>
  <c r="P133" i="23" s="1"/>
  <c r="N134" i="23"/>
  <c r="P134" i="23" s="1"/>
  <c r="N135" i="23"/>
  <c r="P135" i="23" s="1"/>
  <c r="N136" i="23"/>
  <c r="P136" i="23" s="1"/>
  <c r="N137" i="23"/>
  <c r="P137" i="23" s="1"/>
  <c r="N138" i="23"/>
  <c r="P138" i="23" s="1"/>
  <c r="N139" i="23"/>
  <c r="P139" i="23" s="1"/>
  <c r="N113" i="23"/>
  <c r="P113" i="23" s="1"/>
  <c r="N114" i="23"/>
  <c r="P114" i="23" s="1"/>
  <c r="N115" i="23"/>
  <c r="P115" i="23" s="1"/>
  <c r="N116" i="23"/>
  <c r="P116" i="23" s="1"/>
  <c r="N117" i="23"/>
  <c r="P117" i="23" s="1"/>
  <c r="N118" i="23"/>
  <c r="P118" i="23" s="1"/>
  <c r="N119" i="23"/>
  <c r="P119" i="23" s="1"/>
  <c r="N120" i="23"/>
  <c r="P120" i="23" s="1"/>
  <c r="N121" i="23"/>
  <c r="P121" i="23" s="1"/>
  <c r="N122" i="23"/>
  <c r="P122" i="23" s="1"/>
  <c r="N123" i="23"/>
  <c r="P123" i="23" s="1"/>
  <c r="N124" i="23"/>
  <c r="P124" i="23" s="1"/>
  <c r="N125" i="23"/>
  <c r="P125" i="23" s="1"/>
  <c r="N126" i="23"/>
  <c r="P126" i="23" s="1"/>
  <c r="N112" i="23"/>
  <c r="P112" i="23" s="1"/>
  <c r="N103" i="23"/>
  <c r="P103" i="23" s="1"/>
  <c r="N96" i="23"/>
  <c r="P96" i="23" s="1"/>
  <c r="N97" i="23"/>
  <c r="P97" i="23" s="1"/>
  <c r="N98" i="23"/>
  <c r="P98" i="23" s="1"/>
  <c r="N99" i="23"/>
  <c r="P99" i="23" s="1"/>
  <c r="N100" i="23"/>
  <c r="P100" i="23" s="1"/>
  <c r="N101" i="23"/>
  <c r="P101" i="23" s="1"/>
  <c r="N102" i="23"/>
  <c r="P102" i="23" s="1"/>
  <c r="N104" i="23"/>
  <c r="P104" i="23" s="1"/>
  <c r="N105" i="23"/>
  <c r="P105" i="23" s="1"/>
  <c r="N106" i="23"/>
  <c r="P106" i="23" s="1"/>
  <c r="N107" i="23"/>
  <c r="P107" i="23" s="1"/>
  <c r="N108" i="23"/>
  <c r="P108" i="23" s="1"/>
  <c r="N109" i="23"/>
  <c r="P109" i="23" s="1"/>
  <c r="N110" i="23"/>
  <c r="P110" i="23" s="1"/>
  <c r="N111" i="23"/>
  <c r="P111" i="23" s="1"/>
  <c r="N87" i="23"/>
  <c r="P87" i="23" s="1"/>
  <c r="N88" i="23"/>
  <c r="P88" i="23" s="1"/>
  <c r="N89" i="23"/>
  <c r="P89" i="23" s="1"/>
  <c r="N90" i="23"/>
  <c r="P90" i="23" s="1"/>
  <c r="N91" i="23"/>
  <c r="P91" i="23" s="1"/>
  <c r="N92" i="23"/>
  <c r="P92" i="23" s="1"/>
  <c r="N93" i="23"/>
  <c r="P93" i="23" s="1"/>
  <c r="N94" i="23"/>
  <c r="P94" i="23" s="1"/>
  <c r="N95" i="23"/>
  <c r="P95" i="23" s="1"/>
  <c r="N86" i="23"/>
  <c r="P86" i="23" s="1"/>
  <c r="N74" i="23"/>
  <c r="N75" i="23"/>
  <c r="P75" i="23" s="1"/>
  <c r="N76" i="23"/>
  <c r="P76" i="23" s="1"/>
  <c r="N77" i="23"/>
  <c r="P77" i="23" s="1"/>
  <c r="N78" i="23"/>
  <c r="P78" i="23" s="1"/>
  <c r="N79" i="23"/>
  <c r="P79" i="23" s="1"/>
  <c r="N80" i="23"/>
  <c r="P80" i="23" s="1"/>
  <c r="N81" i="23"/>
  <c r="P81" i="23" s="1"/>
  <c r="N82" i="23"/>
  <c r="P82" i="23" s="1"/>
  <c r="N83" i="23"/>
  <c r="P83" i="23" s="1"/>
  <c r="N84" i="23"/>
  <c r="P84" i="23" s="1"/>
  <c r="N85" i="23"/>
  <c r="P85" i="23" s="1"/>
  <c r="N59" i="23"/>
  <c r="P59" i="23" s="1"/>
  <c r="N60" i="23"/>
  <c r="P60" i="23" s="1"/>
  <c r="N61" i="23"/>
  <c r="P61" i="23" s="1"/>
  <c r="N62" i="23"/>
  <c r="P62" i="23" s="1"/>
  <c r="N63" i="23"/>
  <c r="P63" i="23" s="1"/>
  <c r="N64" i="23"/>
  <c r="P64" i="23" s="1"/>
  <c r="N65" i="23"/>
  <c r="P65" i="23" s="1"/>
  <c r="N66" i="23"/>
  <c r="P66" i="23" s="1"/>
  <c r="N67" i="23"/>
  <c r="P67" i="23" s="1"/>
  <c r="N68" i="23"/>
  <c r="P68" i="23" s="1"/>
  <c r="N69" i="23"/>
  <c r="P69" i="23" s="1"/>
  <c r="N70" i="23"/>
  <c r="P70" i="23" s="1"/>
  <c r="N71" i="23"/>
  <c r="P71" i="23" s="1"/>
  <c r="N72" i="23"/>
  <c r="P72" i="23" s="1"/>
  <c r="N73" i="23"/>
  <c r="P73" i="23" s="1"/>
  <c r="N58" i="23"/>
  <c r="P58" i="23" s="1"/>
  <c r="N53" i="23"/>
  <c r="P53" i="23" s="1"/>
  <c r="N54" i="23"/>
  <c r="P54" i="23" s="1"/>
  <c r="N55" i="23"/>
  <c r="P55" i="23" s="1"/>
  <c r="N56" i="23"/>
  <c r="P56" i="23" s="1"/>
  <c r="N57" i="23"/>
  <c r="P57" i="23" s="1"/>
  <c r="N52" i="23"/>
  <c r="P52" i="23" s="1"/>
  <c r="N33" i="23"/>
  <c r="P33" i="23" s="1"/>
  <c r="N34" i="23"/>
  <c r="P34" i="23" s="1"/>
  <c r="N35" i="23"/>
  <c r="P35" i="23" s="1"/>
  <c r="N36" i="23"/>
  <c r="P36" i="23" s="1"/>
  <c r="N37" i="23"/>
  <c r="P37" i="23" s="1"/>
  <c r="N38" i="23"/>
  <c r="P38" i="23" s="1"/>
  <c r="N39" i="23"/>
  <c r="P39" i="23" s="1"/>
  <c r="N40" i="23"/>
  <c r="P40" i="23" s="1"/>
  <c r="N41" i="23"/>
  <c r="P41" i="23" s="1"/>
  <c r="N42" i="23"/>
  <c r="P42" i="23" s="1"/>
  <c r="N43" i="23"/>
  <c r="P43" i="23" s="1"/>
  <c r="N44" i="23"/>
  <c r="P44" i="23" s="1"/>
  <c r="N45" i="23"/>
  <c r="P45" i="23" s="1"/>
  <c r="N46" i="23"/>
  <c r="P46" i="23" s="1"/>
  <c r="N47" i="23"/>
  <c r="P47" i="23" s="1"/>
  <c r="N48" i="23"/>
  <c r="P48" i="23" s="1"/>
  <c r="N49" i="23"/>
  <c r="P49" i="23" s="1"/>
  <c r="N50" i="23"/>
  <c r="P50" i="23" s="1"/>
  <c r="N51" i="23"/>
  <c r="P51" i="23" s="1"/>
  <c r="N32" i="23"/>
  <c r="P32" i="23" s="1"/>
  <c r="N31" i="23"/>
  <c r="P31" i="23" s="1"/>
  <c r="N30" i="23"/>
  <c r="P30" i="23" s="1"/>
  <c r="N28" i="23"/>
  <c r="P28" i="23" s="1"/>
  <c r="N29" i="23"/>
  <c r="P29" i="23" s="1"/>
  <c r="N27" i="23"/>
  <c r="P27" i="23" s="1"/>
  <c r="N26" i="23"/>
  <c r="P26" i="23" s="1"/>
  <c r="N25" i="23"/>
  <c r="P25" i="23" s="1"/>
  <c r="N24" i="23"/>
  <c r="P24" i="23" s="1"/>
  <c r="N23" i="23"/>
  <c r="P23" i="23" s="1"/>
  <c r="N22" i="23"/>
  <c r="P22" i="23" s="1"/>
  <c r="N21" i="23"/>
  <c r="P21" i="23" s="1"/>
  <c r="N20" i="23"/>
  <c r="P20" i="23" s="1"/>
  <c r="N19" i="23"/>
  <c r="P19" i="23" s="1"/>
  <c r="N18" i="23"/>
  <c r="P18" i="23" s="1"/>
  <c r="N17" i="23"/>
  <c r="P17" i="23" s="1"/>
  <c r="N16" i="23"/>
  <c r="P16" i="23" s="1"/>
  <c r="N15" i="23"/>
  <c r="P15" i="23" s="1"/>
  <c r="N14" i="23"/>
  <c r="P14" i="23" s="1"/>
  <c r="N13" i="23"/>
  <c r="P13" i="23" s="1"/>
  <c r="N12" i="23"/>
  <c r="P12" i="23" s="1"/>
  <c r="N11" i="23"/>
  <c r="P11" i="23" s="1"/>
  <c r="N4" i="23"/>
  <c r="P4" i="23" s="1"/>
  <c r="N5" i="23"/>
  <c r="P5" i="23" s="1"/>
  <c r="N6" i="23"/>
  <c r="P6" i="23" s="1"/>
  <c r="N7" i="23"/>
  <c r="P7" i="23" s="1"/>
  <c r="N8" i="23"/>
  <c r="P8" i="23" s="1"/>
  <c r="N9" i="23"/>
  <c r="P9" i="23" s="1"/>
  <c r="N10" i="23"/>
  <c r="P10" i="23" s="1"/>
  <c r="N3" i="23"/>
  <c r="P3" i="23" s="1"/>
  <c r="N2" i="23"/>
  <c r="P2" i="23" s="1"/>
</calcChain>
</file>

<file path=xl/sharedStrings.xml><?xml version="1.0" encoding="utf-8"?>
<sst xmlns="http://schemas.openxmlformats.org/spreadsheetml/2006/main" count="181" uniqueCount="172">
  <si>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</si>
  <si>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</si>
  <si>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</si>
  <si>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</si>
  <si>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</si>
  <si>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</si>
  <si>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</si>
  <si>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</si>
  <si>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</si>
  <si>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</si>
  <si>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</si>
  <si>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</si>
  <si>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</si>
  <si>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Cliente</t>
  </si>
  <si>
    <t>Diferencia</t>
  </si>
  <si>
    <t>Afp Plan Vital</t>
  </si>
  <si>
    <t>EL COMINO</t>
  </si>
  <si>
    <t>AGRÍCOLA PRAVIA</t>
  </si>
  <si>
    <t>AGRÍCOLA PRIMOS Z</t>
  </si>
  <si>
    <t>SOCIEDAD AGRICOLA DON ENRIQUE</t>
  </si>
  <si>
    <t>COMBUSTIBLES PEUMO</t>
  </si>
  <si>
    <t>IVAN OLEA GARCIA</t>
  </si>
  <si>
    <t>AGRICOLA SANTA ISABEL SPA</t>
  </si>
  <si>
    <t>AGROCRECES</t>
  </si>
  <si>
    <t>Abono</t>
  </si>
  <si>
    <t>AL TIRO PIZZA</t>
  </si>
  <si>
    <t>APÍCOLA SAN VICENTE</t>
  </si>
  <si>
    <t>APR EL TAMBO</t>
  </si>
  <si>
    <t>APR PENCAHUE</t>
  </si>
  <si>
    <t>COOPERATIVA APR PUEBLO DE INDIOS</t>
  </si>
  <si>
    <t>AGUAS REQUEGUAS</t>
  </si>
  <si>
    <t xml:space="preserve">ASTORMAQ </t>
  </si>
  <si>
    <t>AUTOMOTORA ALAMEDA LIMITADA</t>
  </si>
  <si>
    <t>BAM BAM II y III</t>
  </si>
  <si>
    <t>BIENES RAICES SAN VCTE</t>
  </si>
  <si>
    <t>BLACK BURGER</t>
  </si>
  <si>
    <t>MINI BLACK</t>
  </si>
  <si>
    <t>COMERCIAL BODEGA AZUL</t>
  </si>
  <si>
    <t>BODEGA LUIS GONZALEZ</t>
  </si>
  <si>
    <t>BOTILLERÍA EL JOKER</t>
  </si>
  <si>
    <t>CAMILO ARTURO MOYA GARRIDO</t>
  </si>
  <si>
    <t>CAMPOSOL CHILE SPA</t>
  </si>
  <si>
    <t>CARNICERIA ACUÑA PEUMO</t>
  </si>
  <si>
    <t>FERRETERÍA GARCÍA</t>
  </si>
  <si>
    <t>CASA PATRONAL LA PALMERA</t>
  </si>
  <si>
    <t>ANA MARÍA RAMÍREZ DÍAZ</t>
  </si>
  <si>
    <t>CASONA TÍA RUTH</t>
  </si>
  <si>
    <t>CENTRO MÉDICO PICHIDEGUA</t>
  </si>
  <si>
    <t>CENTRO DE NEURODESARROLLO SAN VICENTE</t>
  </si>
  <si>
    <t>CENTRO NUEVAMENTE</t>
  </si>
  <si>
    <t>CERVECERÍA CASA BERMEJA</t>
  </si>
  <si>
    <t>EL CLUB DE LAS BRASAS</t>
  </si>
  <si>
    <t>CLUB RAPALHUE</t>
  </si>
  <si>
    <t>CODMISA</t>
  </si>
  <si>
    <t>COLEGIO ALMENAR</t>
  </si>
  <si>
    <t>COLEGIO BOSQUES DE CHILE</t>
  </si>
  <si>
    <t>COLEGIO MISTRAL</t>
  </si>
  <si>
    <t>COLEGIO NEHUEN</t>
  </si>
  <si>
    <t>COLEGIO SAN GABRIEL</t>
  </si>
  <si>
    <t>COLEGIO SAN MARCOS</t>
  </si>
  <si>
    <t>COMERCIAL DÍAZ</t>
  </si>
  <si>
    <t>CONSTRUCTORA AFIN</t>
  </si>
  <si>
    <t>CAUSE SPA</t>
  </si>
  <si>
    <t>CBARRIOS CONSTRUCTORA SPA</t>
  </si>
  <si>
    <t>CONSTRUCTORA COK</t>
  </si>
  <si>
    <t>CONSTRUCTORA GLOBALTEC</t>
  </si>
  <si>
    <t>IM2 SOLAR CHILE SPA</t>
  </si>
  <si>
    <t>CONSTRUCTORA INGHER</t>
  </si>
  <si>
    <t>CONSTRUCTORA LAMBDA</t>
  </si>
  <si>
    <t>CONSTRUCTORA RIO MAIPO</t>
  </si>
  <si>
    <t>CONSTRUCTORA SICOMAQ</t>
  </si>
  <si>
    <t>COOPEUMO</t>
  </si>
  <si>
    <t>COPEC CACHAPOAL</t>
  </si>
  <si>
    <t>COPEC PEUMO</t>
  </si>
  <si>
    <t>COPEC PICHIDEGUA</t>
  </si>
  <si>
    <t>COPEC SAN VICENTE</t>
  </si>
  <si>
    <t>COPEVAL</t>
  </si>
  <si>
    <t>BAR COYOTE</t>
  </si>
  <si>
    <t>HAKUNA SPA</t>
  </si>
  <si>
    <t>LA CASONA</t>
  </si>
  <si>
    <t>DANIEL CANIUMAN TORO</t>
  </si>
  <si>
    <t>DISTRIBUIDORA Y COMERCIALIZADORA DE INSUMOS DE PANADERIA Y PASTELERIA</t>
  </si>
  <si>
    <t>DISTRIBUIDORA DON BETO</t>
  </si>
  <si>
    <t>EDUCACION SAN VICENTE</t>
  </si>
  <si>
    <t>SUPERMERCADO EL GRIFO SPA</t>
  </si>
  <si>
    <t>ESTACIÓN DE SERVICIOS GULF</t>
  </si>
  <si>
    <t>EXPORTADORA IDAHUE</t>
  </si>
  <si>
    <t>FARMACIA SIMI PEUMO</t>
  </si>
  <si>
    <t>POSTO VERDE</t>
  </si>
  <si>
    <t>FERCRIS SPA</t>
  </si>
  <si>
    <t>FERRETERÍA MADEFER</t>
  </si>
  <si>
    <t>CASA FRANCESCA MANTELLI</t>
  </si>
  <si>
    <t>FRESKO FRUIT</t>
  </si>
  <si>
    <t>FUND. LEON BLOY</t>
  </si>
  <si>
    <t>FUNDACION MI CASA</t>
  </si>
  <si>
    <t>FUNDO AGUADA Y MANANTIAL</t>
  </si>
  <si>
    <t>FUNDO RAPEL</t>
  </si>
  <si>
    <t>FUNDO RIBERA</t>
  </si>
  <si>
    <t>GUISELLE PALOMINOS FERNÁNDEZ</t>
  </si>
  <si>
    <t>HACC CHILE</t>
  </si>
  <si>
    <t>AGRÍCOLA HIDROCAMPO LTDA.</t>
  </si>
  <si>
    <t>HIERBAS JAFER</t>
  </si>
  <si>
    <t>HOTEL MALLOA</t>
  </si>
  <si>
    <t>HOTEL VIEJA ESCUELA</t>
  </si>
  <si>
    <t>IMPORTADORA ÁNGEL</t>
  </si>
  <si>
    <t>INSTITUTO OHIGGNS</t>
  </si>
  <si>
    <t>JARDIN EL PRINCIPITO VALIENTE</t>
  </si>
  <si>
    <t>MUNDO FELIZ</t>
  </si>
  <si>
    <t>KIYA MARKET</t>
  </si>
  <si>
    <t>LA POLLITA</t>
  </si>
  <si>
    <t>LA ROSA MANTENCIÓN</t>
  </si>
  <si>
    <t>LAVANDERIA TENCHA</t>
  </si>
  <si>
    <t>LOS ANTONIOS</t>
  </si>
  <si>
    <t>MADERAS SAN GABRIEL</t>
  </si>
  <si>
    <t>MERCADO SAN VICENTE</t>
  </si>
  <si>
    <t>METALGAL</t>
  </si>
  <si>
    <t>MOTEL 7 MOONS</t>
  </si>
  <si>
    <t>MOTEL 7 MOONS PALMILLA</t>
  </si>
  <si>
    <t>MOTEL 7 MOONS CHIMBARONGO</t>
  </si>
  <si>
    <t>MOTEL LOS NARANJOS</t>
  </si>
  <si>
    <t>MUNICIPALIDAD SAN VICENTE</t>
  </si>
  <si>
    <t>I.MUNICIPALIDAD DE PICHIDEGUA</t>
  </si>
  <si>
    <t>NORMA BUSTOS</t>
  </si>
  <si>
    <t>SOC AGRICOLA LA PAZ</t>
  </si>
  <si>
    <t>OLIVEROS LOLOL S.A.</t>
  </si>
  <si>
    <t>PANADERIA ROYAL</t>
  </si>
  <si>
    <t>PANADERÍA SELECTA</t>
  </si>
  <si>
    <t>PARRILLAS CANDIL</t>
  </si>
  <si>
    <t>PIZZA BAR 179</t>
  </si>
  <si>
    <t>PEDRO MILATEGUA ACEITUNO</t>
  </si>
  <si>
    <t>PETROBRAS SV</t>
  </si>
  <si>
    <t>PICÁ DEL TÍO NONY</t>
  </si>
  <si>
    <t>PIZERRIA PIZZI</t>
  </si>
  <si>
    <t>PRM/DEM SAN FDO</t>
  </si>
  <si>
    <t>PROPET STORE</t>
  </si>
  <si>
    <t>RESTAURANT FERROVIARIO</t>
  </si>
  <si>
    <t>CORPORACIÓN EDUCACIONAL ALCALDE PEDRO URBINA</t>
  </si>
  <si>
    <t>AGRO COMERCIAL ESMERALDA LIMITADA</t>
  </si>
  <si>
    <t>TRANSPORTES RIO NEGRO</t>
  </si>
  <si>
    <t>INMOBILIARIA E INVERSIONES RODYB LIMITADA</t>
  </si>
  <si>
    <t>SANGUCHERIA ALEMANA</t>
  </si>
  <si>
    <t>SACYR OPERACIÓN Y SERVICIOS S.A.</t>
  </si>
  <si>
    <t>SEGUNDA GENERACIÓN SPA</t>
  </si>
  <si>
    <t xml:space="preserve">SEMILLAS PANAMERICAN CHILE LIMITADA </t>
  </si>
  <si>
    <t>SERVICIOS CASTRO SPA</t>
  </si>
  <si>
    <t>SOC AGRICOLA JOEL OSORIO Y CIA LIMITADaA</t>
  </si>
  <si>
    <t>SOFRUCO ALIMENTOS LIMITADA</t>
  </si>
  <si>
    <t xml:space="preserve">AGRÍCOLA GUILLERMO PAVEZ </t>
  </si>
  <si>
    <t>SUPERMERCADO DON LUIS EXPRESS</t>
  </si>
  <si>
    <t>SAN NICOLAS CHIMBARONGO</t>
  </si>
  <si>
    <t>SAN NICOLAS MARCHIGUE</t>
  </si>
  <si>
    <t>SAN NICOLAS PLACILLA</t>
  </si>
  <si>
    <t>SAN NICOLAS SAN VICENTE</t>
  </si>
  <si>
    <t>SUBWAY SAN VICENTE</t>
  </si>
  <si>
    <t>STATKRAFT EOLICO S.A.</t>
  </si>
  <si>
    <t>TALLER NEO</t>
  </si>
  <si>
    <t>SUPERMERCADO LOLOL</t>
  </si>
  <si>
    <t>TIENDA MASKOTAS</t>
  </si>
  <si>
    <t>TRANSPORTES TRAYDILL</t>
  </si>
  <si>
    <t>TORRE TAGLE CASA PATRONAL</t>
  </si>
  <si>
    <t>TORRE TAGLE COMEDOR</t>
  </si>
  <si>
    <t>TORRE TAGLE COMEDOR VIÑA</t>
  </si>
  <si>
    <t>TORRE TAGLE</t>
  </si>
  <si>
    <t>TRANSPORTES SAN LUIS SPA</t>
  </si>
  <si>
    <t>TRANSPORTES CABO FRIO LIMITADA</t>
  </si>
  <si>
    <t>URODIAL</t>
  </si>
  <si>
    <t>VIÑA GARCÉS SILVA</t>
  </si>
  <si>
    <t>CASA VALESCA RONDA</t>
  </si>
  <si>
    <t>Venta</t>
  </si>
  <si>
    <t>Nombre</t>
  </si>
  <si>
    <t>Junio-Julio</t>
  </si>
  <si>
    <t>Ago-Sep-Oct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</si>
</sst>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$&quot;* #,##0_ ;_ &quot;$&quot;* \-#,##0_ ;_ &quot;$&quot;* &quot;-&quot;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-&quot;$&quot;\ * #,##0.00_-;\-&quot;$&quot;\ * #,##0.00_-;_-&quot;$&quot;\ * &quot;-&quot;??_-;_-@_-"/>
    <numFmt numFmtId="170" formatCode="_-[$€-2]\ * #,##0.00_-;\-[$€-2]\ * #,##0.00_-;_-[$€-2]\ * &quot;-&quot;??_-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0"/>
      <name val="MS Sans Serif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3"/>
      </patternFill>
    </fill>
    <fill>
      <patternFill patternType="solid">
        <fgColor indexed="29"/>
        <bgColor indexed="4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3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1">
    <xf numFmtId="0" fontId="0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7" borderId="1" applyNumberFormat="0" applyAlignment="0" applyProtection="0"/>
    <xf numFmtId="0" fontId="7" fillId="13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4" fillId="17" borderId="0" applyNumberFormat="0" applyBorder="0" applyAlignment="0" applyProtection="0"/>
    <xf numFmtId="0" fontId="10" fillId="4" borderId="1" applyNumberFormat="0" applyAlignment="0" applyProtection="0"/>
    <xf numFmtId="0" fontId="11" fillId="0" borderId="0"/>
    <xf numFmtId="170" fontId="11" fillId="0" borderId="0" applyFont="0" applyFill="0" applyBorder="0" applyAlignment="0" applyProtection="0"/>
    <xf numFmtId="0" fontId="3" fillId="18" borderId="0" applyNumberFormat="0" applyBorder="0" applyAlignment="0" applyProtection="0"/>
    <xf numFmtId="0" fontId="12" fillId="3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3" fillId="11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6" borderId="4" applyNumberFormat="0" applyFon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7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</cellStyleXfs>
  <cellXfs count="18">
    <xf numFmtId="0" fontId="0" fillId="0" borderId="0" xfId="0"/>
    <xf numFmtId="0" fontId="0" fillId="0" borderId="14" xfId="0" applyBorder="1"/>
    <xf numFmtId="0" fontId="23" fillId="0" borderId="0" xfId="0" applyFont="1"/>
    <xf numFmtId="42" fontId="0" fillId="0" borderId="0" xfId="77" applyFont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42" fontId="0" fillId="0" borderId="13" xfId="77" applyFont="1" applyBorder="1" applyAlignment="1">
      <alignment horizontal="center"/>
    </xf>
    <xf numFmtId="1" fontId="22" fillId="0" borderId="14" xfId="77" applyNumberFormat="1" applyFont="1" applyBorder="1"/>
    <xf numFmtId="1" fontId="0" fillId="0" borderId="14" xfId="77" applyNumberFormat="1" applyFont="1" applyBorder="1"/>
    <xf numFmtId="1" fontId="22" fillId="0" borderId="14" xfId="77" applyNumberFormat="1" applyFont="1" applyFill="1" applyBorder="1"/>
    <xf numFmtId="1" fontId="0" fillId="0" borderId="10" xfId="77" applyNumberFormat="1" applyFont="1" applyBorder="1"/>
    <xf numFmtId="1" fontId="24" fillId="0" borderId="14" xfId="77" applyNumberFormat="1" applyFont="1" applyBorder="1" applyAlignment="1">
      <alignment horizontal="center" wrapText="1"/>
    </xf>
    <xf numFmtId="1" fontId="24" fillId="19" borderId="14" xfId="77" applyNumberFormat="1" applyFont="1" applyFill="1" applyBorder="1" applyAlignment="1">
      <alignment horizontal="center" wrapText="1"/>
    </xf>
    <xf numFmtId="1" fontId="0" fillId="0" borderId="13" xfId="77" applyNumberFormat="1" applyFont="1" applyBorder="1"/>
    <xf numFmtId="1" fontId="0" fillId="0" borderId="14" xfId="77" applyNumberFormat="1" applyFont="1" applyFill="1" applyBorder="1"/>
    <xf numFmtId="1" fontId="0" fillId="0" borderId="14" xfId="0" applyNumberFormat="1" applyBorder="1"/>
    <xf numFmtId="1" fontId="0" fillId="0" borderId="12" xfId="77" applyNumberFormat="1" applyFont="1" applyBorder="1"/>
  </cellXfs>
  <cellStyles count="171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Estilo 1" xfId="31"/>
    <cellStyle name="Euro" xfId="32"/>
    <cellStyle name="Excel_BuiltIn_40% - Énfasis2" xfId="33"/>
    <cellStyle name="Incorrecto 2" xfId="34"/>
    <cellStyle name="Millares [0] 2" xfId="35"/>
    <cellStyle name="Millares 10" xfId="36"/>
    <cellStyle name="Millares 11" xfId="37"/>
    <cellStyle name="Millares 12" xfId="38"/>
    <cellStyle name="Millares 13" xfId="39"/>
    <cellStyle name="Millares 14" xfId="40"/>
    <cellStyle name="Millares 15" xfId="41"/>
    <cellStyle name="Millares 16" xfId="42"/>
    <cellStyle name="Millares 16 2" xfId="43"/>
    <cellStyle name="Millares 16 2 2" xfId="44"/>
    <cellStyle name="Millares 16 2 3" xfId="45"/>
    <cellStyle name="Millares 16 2 4" xfId="46"/>
    <cellStyle name="Millares 17" xfId="47"/>
    <cellStyle name="Millares 17 2" xfId="48"/>
    <cellStyle name="Millares 17 2 2" xfId="49"/>
    <cellStyle name="Millares 17 2 3" xfId="50"/>
    <cellStyle name="Millares 17 2 4" xfId="51"/>
    <cellStyle name="Millares 18" xfId="52"/>
    <cellStyle name="Millares 19" xfId="53"/>
    <cellStyle name="Millares 2" xfId="54"/>
    <cellStyle name="Millares 2 2" xfId="55"/>
    <cellStyle name="Millares 20" xfId="56"/>
    <cellStyle name="Millares 20 2" xfId="57"/>
    <cellStyle name="Millares 20 2 2" xfId="58"/>
    <cellStyle name="Millares 20 2 3" xfId="59"/>
    <cellStyle name="Millares 20 2 4" xfId="60"/>
    <cellStyle name="Millares 21" xfId="61"/>
    <cellStyle name="Millares 22" xfId="62"/>
    <cellStyle name="Millares 23" xfId="63"/>
    <cellStyle name="Millares 24" xfId="64"/>
    <cellStyle name="Millares 3" xfId="65"/>
    <cellStyle name="Millares 3 2" xfId="66"/>
    <cellStyle name="Millares 4" xfId="67"/>
    <cellStyle name="Millares 5" xfId="68"/>
    <cellStyle name="Millares 5 2" xfId="69"/>
    <cellStyle name="Millares 5 2 2" xfId="70"/>
    <cellStyle name="Millares 5 2 3" xfId="71"/>
    <cellStyle name="Millares 5 2 4" xfId="72"/>
    <cellStyle name="Millares 6" xfId="73"/>
    <cellStyle name="Millares 7" xfId="74"/>
    <cellStyle name="Millares 8" xfId="75"/>
    <cellStyle name="Millares 9" xfId="76"/>
    <cellStyle name="Moneda [0]" xfId="77" builtinId="7"/>
    <cellStyle name="Moneda [0] 2" xfId="78"/>
    <cellStyle name="Moneda [0] 3" xfId="79"/>
    <cellStyle name="Moneda 2" xfId="80"/>
    <cellStyle name="Moneda 3" xfId="81"/>
    <cellStyle name="Neutral 2" xfId="82"/>
    <cellStyle name="Normal" xfId="0" builtinId="0"/>
    <cellStyle name="Normal 10" xfId="83"/>
    <cellStyle name="Normal 11" xfId="84"/>
    <cellStyle name="Normal 12" xfId="85"/>
    <cellStyle name="Normal 13" xfId="86"/>
    <cellStyle name="Normal 14" xfId="87"/>
    <cellStyle name="Normal 15" xfId="88"/>
    <cellStyle name="Normal 16" xfId="89"/>
    <cellStyle name="Normal 17" xfId="90"/>
    <cellStyle name="Normal 18" xfId="91"/>
    <cellStyle name="Normal 19" xfId="92"/>
    <cellStyle name="Normal 2" xfId="93"/>
    <cellStyle name="Normal 2 2" xfId="94"/>
    <cellStyle name="Normal 2 2 2" xfId="95"/>
    <cellStyle name="Normal 2 6" xfId="96"/>
    <cellStyle name="Normal 20" xfId="97"/>
    <cellStyle name="Normal 21" xfId="98"/>
    <cellStyle name="Normal 22" xfId="99"/>
    <cellStyle name="Normal 23" xfId="100"/>
    <cellStyle name="Normal 24" xfId="101"/>
    <cellStyle name="Normal 25" xfId="102"/>
    <cellStyle name="Normal 26" xfId="103"/>
    <cellStyle name="Normal 27" xfId="104"/>
    <cellStyle name="Normal 28" xfId="105"/>
    <cellStyle name="Normal 29" xfId="106"/>
    <cellStyle name="Normal 3" xfId="107"/>
    <cellStyle name="Normal 3 2" xfId="108"/>
    <cellStyle name="Normal 30" xfId="109"/>
    <cellStyle name="Normal 31" xfId="110"/>
    <cellStyle name="Normal 32" xfId="111"/>
    <cellStyle name="Normal 33" xfId="112"/>
    <cellStyle name="Normal 34" xfId="113"/>
    <cellStyle name="Normal 35" xfId="114"/>
    <cellStyle name="Normal 4" xfId="115"/>
    <cellStyle name="Normal 4 2" xfId="116"/>
    <cellStyle name="Normal 5" xfId="117"/>
    <cellStyle name="Normal 5 2" xfId="118"/>
    <cellStyle name="Normal 6" xfId="119"/>
    <cellStyle name="Normal 7" xfId="120"/>
    <cellStyle name="Normal 8" xfId="121"/>
    <cellStyle name="Normal 9" xfId="122"/>
    <cellStyle name="Notas 2" xfId="123"/>
    <cellStyle name="Porcentaje 10" xfId="124"/>
    <cellStyle name="Porcentaje 11" xfId="125"/>
    <cellStyle name="Porcentaje 12" xfId="126"/>
    <cellStyle name="Porcentaje 13" xfId="127"/>
    <cellStyle name="Porcentaje 14" xfId="128"/>
    <cellStyle name="Porcentaje 15" xfId="129"/>
    <cellStyle name="Porcentaje 16" xfId="130"/>
    <cellStyle name="Porcentaje 17" xfId="131"/>
    <cellStyle name="Porcentaje 18" xfId="132"/>
    <cellStyle name="Porcentaje 19" xfId="133"/>
    <cellStyle name="Porcentaje 2" xfId="134"/>
    <cellStyle name="Porcentaje 2 2" xfId="135"/>
    <cellStyle name="Porcentaje 20" xfId="136"/>
    <cellStyle name="Porcentaje 21" xfId="137"/>
    <cellStyle name="Porcentaje 22" xfId="138"/>
    <cellStyle name="Porcentaje 23" xfId="139"/>
    <cellStyle name="Porcentaje 24" xfId="140"/>
    <cellStyle name="Porcentaje 25" xfId="141"/>
    <cellStyle name="Porcentaje 26" xfId="142"/>
    <cellStyle name="Porcentaje 27" xfId="143"/>
    <cellStyle name="Porcentaje 28" xfId="144"/>
    <cellStyle name="Porcentaje 29" xfId="145"/>
    <cellStyle name="Porcentaje 3" xfId="146"/>
    <cellStyle name="Porcentaje 3 2" xfId="147"/>
    <cellStyle name="Porcentaje 30" xfId="148"/>
    <cellStyle name="Porcentaje 31" xfId="149"/>
    <cellStyle name="Porcentaje 32" xfId="150"/>
    <cellStyle name="Porcentaje 33" xfId="151"/>
    <cellStyle name="Porcentaje 34" xfId="152"/>
    <cellStyle name="Porcentaje 35" xfId="153"/>
    <cellStyle name="Porcentaje 4" xfId="154"/>
    <cellStyle name="Porcentaje 5" xfId="155"/>
    <cellStyle name="Porcentaje 6" xfId="156"/>
    <cellStyle name="Porcentaje 7" xfId="157"/>
    <cellStyle name="Porcentaje 8" xfId="158"/>
    <cellStyle name="Porcentaje 9" xfId="159"/>
    <cellStyle name="Porcentual 2" xfId="160"/>
    <cellStyle name="Porcentual 2 2" xfId="161"/>
    <cellStyle name="Porcentual 3" xfId="162"/>
    <cellStyle name="Salida 2" xfId="163"/>
    <cellStyle name="Texto de advertencia 2" xfId="164"/>
    <cellStyle name="Texto explicativo 2" xfId="165"/>
    <cellStyle name="Título 1 2" xfId="166"/>
    <cellStyle name="Título 2 2" xfId="167"/>
    <cellStyle name="Título 3 2" xfId="168"/>
    <cellStyle name="Título 4" xfId="169"/>
    <cellStyle name="Total 2" xfId="170"/>
  </cellStyles>
  <dxfs count="28"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1:P153" totalsRowShown="0" headerRowDxfId="27" dataDxfId="26" tableBorderDxfId="25" dataCellStyle="Moneda [0]">
  <autoFilter ref="A1:P153"/>
  <tableColumns count="16">
    <tableColumn id="1" name="Nombre Cliente" dataDxfId="24"/>
    <tableColumn id="2" name="Enero" dataDxfId="15" dataCellStyle="Moneda [0]"/>
    <tableColumn id="3" name="Febrero" dataDxfId="14" dataCellStyle="Moneda [0]"/>
    <tableColumn id="4" name="Marzo" dataDxfId="13" dataCellStyle="Moneda [0]"/>
    <tableColumn id="5" name="Abril" dataDxfId="12" dataCellStyle="Moneda [0]"/>
    <tableColumn id="6" name="Mayo" dataDxfId="11" dataCellStyle="Moneda [0]"/>
    <tableColumn id="7" name="Junio" dataDxfId="10" dataCellStyle="Moneda [0]"/>
    <tableColumn id="8" name="Julio" dataDxfId="9" dataCellStyle="Moneda [0]"/>
    <tableColumn id="9" name="Agosto" dataDxfId="8" dataCellStyle="Moneda [0]"/>
    <tableColumn id="10" name="Septiembre" dataDxfId="7" dataCellStyle="Moneda [0]"/>
    <tableColumn id="11" name="Octubre" dataDxfId="6" dataCellStyle="Moneda [0]"/>
    <tableColumn id="12" name="Noviembre" dataDxfId="5" dataCellStyle="Moneda [0]"/>
    <tableColumn id="13" name="Diciembre" dataDxfId="4" dataCellStyle="Moneda [0]"/>
    <tableColumn id="14" name="Total" dataDxfId="3" dataCellStyle="Moneda [0]"/>
    <tableColumn id="15" name="Abono" dataDxfId="2" dataCellStyle="Moneda [0]"/>
    <tableColumn id="16" name="Diferencia" dataDxfId="1" dataCellStyle="Moneda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D10" totalsRowShown="0" headerRowDxfId="23" dataDxfId="21" headerRowBorderDxfId="22" tableBorderDxfId="20" dataCellStyle="Moneda [0]">
  <autoFilter ref="A1:D10"/>
  <tableColumns count="4">
    <tableColumn id="1" name="Nombre" dataDxfId="19"/>
    <tableColumn id="2" name="Venta" dataDxfId="18" dataCellStyle="Moneda [0]"/>
    <tableColumn id="3" name="Abono" dataDxfId="17" dataCellStyle="Moneda [0]"/>
    <tableColumn id="4" name="Diferencia" dataDxfId="16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S21" sqref="S21"/>
    </sheetView>
  </sheetViews>
  <sheetFormatPr baseColWidth="10" defaultRowHeight="15" x14ac:dyDescent="0.25"/>
  <cols>
    <col min="1" max="1" width="50" customWidth="1"/>
    <col min="2" max="2" width="13.5703125" customWidth="1"/>
    <col min="3" max="3" width="13.140625" bestFit="1" customWidth="1"/>
    <col min="4" max="4" width="12" bestFit="1" customWidth="1"/>
    <col min="5" max="5" width="12.140625" bestFit="1" customWidth="1"/>
    <col min="6" max="9" width="12" bestFit="1" customWidth="1"/>
    <col min="10" max="10" width="13.5703125" customWidth="1"/>
    <col min="11" max="11" width="12" bestFit="1" customWidth="1"/>
    <col min="12" max="12" width="13.140625" customWidth="1"/>
    <col min="13" max="13" width="12.28515625" customWidth="1"/>
    <col min="14" max="14" width="13" bestFit="1" customWidth="1"/>
    <col min="15" max="15" width="13" style="3" bestFit="1" customWidth="1"/>
    <col min="16" max="16" width="12.7109375" bestFit="1" customWidth="1"/>
  </cols>
  <sheetData>
    <row r="1" spans="1:16" x14ac:dyDescent="0.25">
      <c r="A1" s="6" t="s">
        <v>13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0</v>
      </c>
      <c r="O1" s="7" t="s">
        <v>24</v>
      </c>
      <c r="P1" s="5" t="s">
        <v>14</v>
      </c>
    </row>
    <row r="2" spans="1:16" x14ac:dyDescent="0.25">
      <c r="A2" s="2" t="s">
        <v>15</v>
      </c>
      <c r="B2" s="8">
        <v>59423</v>
      </c>
      <c r="C2" s="8">
        <v>0</v>
      </c>
      <c r="D2" s="8">
        <v>0</v>
      </c>
      <c r="E2" s="8">
        <v>60439</v>
      </c>
      <c r="F2" s="8">
        <v>0</v>
      </c>
      <c r="G2" s="8">
        <v>0</v>
      </c>
      <c r="H2" s="8">
        <v>60735</v>
      </c>
      <c r="I2" s="8">
        <v>0</v>
      </c>
      <c r="J2" s="8">
        <v>0</v>
      </c>
      <c r="K2" s="8">
        <v>61140</v>
      </c>
      <c r="L2" s="8">
        <v>0</v>
      </c>
      <c r="M2" s="8">
        <v>0</v>
      </c>
      <c r="N2" s="9">
        <f>SUM(B2:M2)</f>
        <v>241737</v>
      </c>
      <c r="O2" s="9">
        <v>241742</v>
      </c>
      <c r="P2" s="9">
        <f>+O2-N2</f>
        <v>5</v>
      </c>
    </row>
    <row r="3" spans="1:16" x14ac:dyDescent="0.25">
      <c r="A3" s="2" t="s">
        <v>16</v>
      </c>
      <c r="B3" s="8">
        <v>681288</v>
      </c>
      <c r="C3" s="8">
        <v>681471</v>
      </c>
      <c r="D3" s="8">
        <v>687585</v>
      </c>
      <c r="E3" s="8">
        <v>958907</v>
      </c>
      <c r="F3" s="8">
        <v>694017</v>
      </c>
      <c r="G3" s="8">
        <v>695092</v>
      </c>
      <c r="H3" s="8">
        <v>696385</v>
      </c>
      <c r="I3" s="8">
        <v>694053</v>
      </c>
      <c r="J3" s="8">
        <v>700119</v>
      </c>
      <c r="K3" s="8">
        <v>700119</v>
      </c>
      <c r="L3" s="8">
        <v>910141</v>
      </c>
      <c r="M3" s="8">
        <v>0</v>
      </c>
      <c r="N3" s="9">
        <f t="shared" ref="N3:N14" si="0">SUM(B3:M3)</f>
        <v>8099177</v>
      </c>
      <c r="O3" s="9">
        <v>7189036</v>
      </c>
      <c r="P3" s="9">
        <f t="shared" ref="P3:P66" si="1">+O3-N3</f>
        <v>-910141</v>
      </c>
    </row>
    <row r="4" spans="1:16" x14ac:dyDescent="0.25">
      <c r="A4" s="2" t="s">
        <v>17</v>
      </c>
      <c r="B4" s="8">
        <v>91361</v>
      </c>
      <c r="C4" s="8">
        <v>91838</v>
      </c>
      <c r="D4" s="8">
        <v>92520</v>
      </c>
      <c r="E4" s="8">
        <v>92984</v>
      </c>
      <c r="F4" s="8">
        <v>93259</v>
      </c>
      <c r="G4" s="8">
        <v>93430</v>
      </c>
      <c r="H4" s="8">
        <v>93282</v>
      </c>
      <c r="I4" s="8">
        <v>93596</v>
      </c>
      <c r="J4" s="8">
        <v>93975</v>
      </c>
      <c r="K4" s="8">
        <v>94206</v>
      </c>
      <c r="L4" s="8">
        <v>94352</v>
      </c>
      <c r="M4" s="8">
        <v>0</v>
      </c>
      <c r="N4" s="9">
        <f t="shared" si="0"/>
        <v>1024803</v>
      </c>
      <c r="O4" s="9">
        <v>1024803</v>
      </c>
      <c r="P4" s="9">
        <f t="shared" si="1"/>
        <v>0</v>
      </c>
    </row>
    <row r="5" spans="1:16" x14ac:dyDescent="0.25">
      <c r="A5" s="2" t="s">
        <v>18</v>
      </c>
      <c r="B5" s="8">
        <v>95966</v>
      </c>
      <c r="C5" s="8">
        <v>96317</v>
      </c>
      <c r="D5" s="8">
        <v>97071</v>
      </c>
      <c r="E5" s="8">
        <v>97504</v>
      </c>
      <c r="F5" s="8">
        <v>97839</v>
      </c>
      <c r="G5" s="8">
        <v>98017</v>
      </c>
      <c r="H5" s="8">
        <v>98162</v>
      </c>
      <c r="I5" s="10">
        <v>97936</v>
      </c>
      <c r="J5" s="10">
        <v>98675</v>
      </c>
      <c r="K5" s="10">
        <v>98687</v>
      </c>
      <c r="L5" s="10">
        <v>99069</v>
      </c>
      <c r="M5" s="8">
        <v>0</v>
      </c>
      <c r="N5" s="9">
        <f t="shared" si="0"/>
        <v>1075243</v>
      </c>
      <c r="O5" s="9">
        <v>0</v>
      </c>
      <c r="P5" s="9">
        <f t="shared" si="1"/>
        <v>-1075243</v>
      </c>
    </row>
    <row r="6" spans="1:16" x14ac:dyDescent="0.25">
      <c r="A6" s="2" t="s">
        <v>19</v>
      </c>
      <c r="B6" s="8">
        <v>0</v>
      </c>
      <c r="C6" s="8">
        <v>0</v>
      </c>
      <c r="D6" s="8">
        <v>0</v>
      </c>
      <c r="E6" s="8">
        <v>55669</v>
      </c>
      <c r="F6" s="8">
        <v>0</v>
      </c>
      <c r="G6" s="8">
        <v>0</v>
      </c>
      <c r="H6" s="8">
        <v>0</v>
      </c>
      <c r="I6" s="8">
        <v>55963</v>
      </c>
      <c r="J6" s="8">
        <v>0</v>
      </c>
      <c r="K6" s="8">
        <v>0</v>
      </c>
      <c r="L6" s="10">
        <v>0</v>
      </c>
      <c r="M6" s="8">
        <v>0</v>
      </c>
      <c r="N6" s="9">
        <f t="shared" si="0"/>
        <v>111632</v>
      </c>
      <c r="O6" s="9">
        <v>0</v>
      </c>
      <c r="P6" s="9">
        <f t="shared" si="1"/>
        <v>-111632</v>
      </c>
    </row>
    <row r="7" spans="1:16" x14ac:dyDescent="0.25">
      <c r="A7" s="2" t="s">
        <v>20</v>
      </c>
      <c r="B7" s="8">
        <v>0</v>
      </c>
      <c r="C7" s="8">
        <v>0</v>
      </c>
      <c r="D7" s="8">
        <v>0</v>
      </c>
      <c r="E7" s="8">
        <v>55605</v>
      </c>
      <c r="F7" s="8">
        <v>0</v>
      </c>
      <c r="G7" s="8">
        <v>0</v>
      </c>
      <c r="H7" s="8">
        <v>0</v>
      </c>
      <c r="I7" s="8">
        <v>56174</v>
      </c>
      <c r="J7" s="8">
        <v>0</v>
      </c>
      <c r="K7" s="8">
        <v>0</v>
      </c>
      <c r="L7" s="10">
        <v>0</v>
      </c>
      <c r="M7" s="8">
        <v>0</v>
      </c>
      <c r="N7" s="9">
        <f t="shared" si="0"/>
        <v>111779</v>
      </c>
      <c r="O7" s="9">
        <v>0</v>
      </c>
      <c r="P7" s="9">
        <f t="shared" si="1"/>
        <v>-111779</v>
      </c>
    </row>
    <row r="8" spans="1:16" x14ac:dyDescent="0.25">
      <c r="A8" s="2" t="s">
        <v>21</v>
      </c>
      <c r="B8" s="8">
        <v>0</v>
      </c>
      <c r="C8" s="8">
        <v>54966</v>
      </c>
      <c r="D8" s="8">
        <v>0</v>
      </c>
      <c r="E8" s="8">
        <v>0</v>
      </c>
      <c r="F8" s="8">
        <v>0</v>
      </c>
      <c r="G8" s="8">
        <v>55995</v>
      </c>
      <c r="H8" s="8">
        <v>0</v>
      </c>
      <c r="I8" s="8">
        <v>0</v>
      </c>
      <c r="J8" s="8">
        <v>0</v>
      </c>
      <c r="K8" s="8">
        <v>56429</v>
      </c>
      <c r="L8" s="10">
        <v>0</v>
      </c>
      <c r="M8" s="8">
        <v>0</v>
      </c>
      <c r="N8" s="9">
        <f t="shared" si="0"/>
        <v>167390</v>
      </c>
      <c r="O8" s="9">
        <v>0</v>
      </c>
      <c r="P8" s="9">
        <f t="shared" si="1"/>
        <v>-167390</v>
      </c>
    </row>
    <row r="9" spans="1:16" x14ac:dyDescent="0.25">
      <c r="A9" s="2" t="s">
        <v>22</v>
      </c>
      <c r="B9" s="8">
        <v>0</v>
      </c>
      <c r="C9" s="8">
        <v>374850</v>
      </c>
      <c r="D9" s="8">
        <v>0</v>
      </c>
      <c r="E9" s="8">
        <v>226100</v>
      </c>
      <c r="F9" s="8">
        <v>0</v>
      </c>
      <c r="G9" s="8">
        <v>226100</v>
      </c>
      <c r="H9" s="8">
        <v>0</v>
      </c>
      <c r="I9" s="8">
        <v>226100</v>
      </c>
      <c r="J9" s="8">
        <v>0</v>
      </c>
      <c r="K9" s="8">
        <v>226100</v>
      </c>
      <c r="L9" s="10">
        <v>0</v>
      </c>
      <c r="M9" s="8">
        <v>0</v>
      </c>
      <c r="N9" s="9">
        <f t="shared" si="0"/>
        <v>1279250</v>
      </c>
      <c r="O9" s="9">
        <v>1053150</v>
      </c>
      <c r="P9" s="9">
        <f t="shared" si="1"/>
        <v>-226100</v>
      </c>
    </row>
    <row r="10" spans="1:16" x14ac:dyDescent="0.25">
      <c r="A10" s="2" t="s">
        <v>23</v>
      </c>
      <c r="B10" s="8">
        <v>205734</v>
      </c>
      <c r="C10" s="8">
        <v>205831</v>
      </c>
      <c r="D10" s="8">
        <v>207823</v>
      </c>
      <c r="E10" s="8">
        <v>208589</v>
      </c>
      <c r="F10" s="8">
        <v>209657</v>
      </c>
      <c r="G10" s="8">
        <v>210037</v>
      </c>
      <c r="H10" s="8">
        <v>210347</v>
      </c>
      <c r="I10" s="8">
        <v>209680</v>
      </c>
      <c r="J10" s="8">
        <v>211201</v>
      </c>
      <c r="K10" s="8">
        <v>211445</v>
      </c>
      <c r="L10" s="10">
        <v>212127</v>
      </c>
      <c r="M10" s="8">
        <v>212292</v>
      </c>
      <c r="N10" s="9">
        <f t="shared" si="0"/>
        <v>2514763</v>
      </c>
      <c r="O10" s="9">
        <v>1667698</v>
      </c>
      <c r="P10" s="9">
        <f t="shared" si="1"/>
        <v>-847065</v>
      </c>
    </row>
    <row r="11" spans="1:16" x14ac:dyDescent="0.25">
      <c r="A11" s="2" t="s">
        <v>25</v>
      </c>
      <c r="B11" s="8">
        <v>59381</v>
      </c>
      <c r="C11" s="8">
        <v>59555</v>
      </c>
      <c r="D11" s="9">
        <v>60069</v>
      </c>
      <c r="E11" s="9">
        <v>60239</v>
      </c>
      <c r="F11" s="9">
        <v>60559</v>
      </c>
      <c r="G11" s="8">
        <v>60661</v>
      </c>
      <c r="H11" s="8">
        <v>60774</v>
      </c>
      <c r="I11" s="9">
        <v>60609</v>
      </c>
      <c r="J11" s="9">
        <v>61066</v>
      </c>
      <c r="K11" s="9">
        <v>61084</v>
      </c>
      <c r="L11" s="9">
        <v>84654</v>
      </c>
      <c r="M11" s="9">
        <v>61305</v>
      </c>
      <c r="N11" s="9">
        <f t="shared" si="0"/>
        <v>749956</v>
      </c>
      <c r="O11" s="9">
        <v>542913</v>
      </c>
      <c r="P11" s="9">
        <f t="shared" si="1"/>
        <v>-207043</v>
      </c>
    </row>
    <row r="12" spans="1:16" x14ac:dyDescent="0.25">
      <c r="A12" s="2" t="s">
        <v>26</v>
      </c>
      <c r="B12" s="8">
        <v>73093</v>
      </c>
      <c r="C12" s="8">
        <v>73556</v>
      </c>
      <c r="D12" s="9">
        <v>74016</v>
      </c>
      <c r="E12" s="9">
        <v>74375</v>
      </c>
      <c r="F12" s="9">
        <v>74602</v>
      </c>
      <c r="G12" s="9">
        <v>74739</v>
      </c>
      <c r="H12" s="9">
        <v>74655</v>
      </c>
      <c r="I12" s="9">
        <v>74726</v>
      </c>
      <c r="J12" s="9">
        <v>75181</v>
      </c>
      <c r="K12" s="9">
        <v>75316</v>
      </c>
      <c r="L12" s="9">
        <v>75482</v>
      </c>
      <c r="M12" s="8">
        <v>0</v>
      </c>
      <c r="N12" s="9">
        <f t="shared" si="0"/>
        <v>819741</v>
      </c>
      <c r="O12" s="9">
        <v>295040</v>
      </c>
      <c r="P12" s="9">
        <f t="shared" si="1"/>
        <v>-524701</v>
      </c>
    </row>
    <row r="13" spans="1:16" x14ac:dyDescent="0.25">
      <c r="A13" s="2" t="s">
        <v>27</v>
      </c>
      <c r="B13" s="8">
        <v>0</v>
      </c>
      <c r="C13" s="8">
        <v>0</v>
      </c>
      <c r="D13" s="8">
        <v>0</v>
      </c>
      <c r="E13" s="8">
        <v>0</v>
      </c>
      <c r="F13" s="9">
        <v>227962</v>
      </c>
      <c r="G13" s="8">
        <v>0</v>
      </c>
      <c r="H13" s="8">
        <v>0</v>
      </c>
      <c r="I13" s="9">
        <v>228781</v>
      </c>
      <c r="J13" s="8">
        <v>0</v>
      </c>
      <c r="K13" s="8">
        <v>0</v>
      </c>
      <c r="L13" s="9">
        <v>231161</v>
      </c>
      <c r="M13" s="8">
        <v>0</v>
      </c>
      <c r="N13" s="9">
        <f t="shared" si="0"/>
        <v>687904</v>
      </c>
      <c r="O13" s="9">
        <v>456743</v>
      </c>
      <c r="P13" s="9">
        <f t="shared" si="1"/>
        <v>-231161</v>
      </c>
    </row>
    <row r="14" spans="1:16" x14ac:dyDescent="0.25">
      <c r="A14" s="2" t="s">
        <v>28</v>
      </c>
      <c r="B14" s="8">
        <v>0</v>
      </c>
      <c r="C14" s="9">
        <v>114933</v>
      </c>
      <c r="D14" s="8">
        <v>0</v>
      </c>
      <c r="E14" s="8">
        <v>0</v>
      </c>
      <c r="F14" s="9">
        <v>116499</v>
      </c>
      <c r="G14" s="8">
        <v>0</v>
      </c>
      <c r="H14" s="8">
        <v>0</v>
      </c>
      <c r="I14" s="9">
        <v>116759</v>
      </c>
      <c r="J14" s="8">
        <v>0</v>
      </c>
      <c r="K14" s="8">
        <v>0</v>
      </c>
      <c r="L14" s="9">
        <v>117940</v>
      </c>
      <c r="M14" s="8">
        <v>0</v>
      </c>
      <c r="N14" s="9">
        <f t="shared" si="0"/>
        <v>466131</v>
      </c>
      <c r="O14" s="9">
        <v>466131</v>
      </c>
      <c r="P14" s="9">
        <f t="shared" si="1"/>
        <v>0</v>
      </c>
    </row>
    <row r="15" spans="1:16" x14ac:dyDescent="0.25">
      <c r="A15" s="2" t="s">
        <v>29</v>
      </c>
      <c r="B15" s="8">
        <v>0</v>
      </c>
      <c r="C15" s="8">
        <v>0</v>
      </c>
      <c r="D15" s="9">
        <v>69265</v>
      </c>
      <c r="E15" s="8">
        <v>0</v>
      </c>
      <c r="F15" s="8">
        <v>0</v>
      </c>
      <c r="G15" s="9">
        <v>69993</v>
      </c>
      <c r="H15" s="8">
        <v>0</v>
      </c>
      <c r="I15" s="8">
        <v>0</v>
      </c>
      <c r="J15" s="9">
        <v>70461</v>
      </c>
      <c r="K15" s="8">
        <v>0</v>
      </c>
      <c r="L15" s="8">
        <v>0</v>
      </c>
      <c r="M15" s="8">
        <v>0</v>
      </c>
      <c r="N15" s="9">
        <f t="shared" ref="N15:N32" si="2">SUM(B15:M15)</f>
        <v>209719</v>
      </c>
      <c r="O15" s="9">
        <v>209719</v>
      </c>
      <c r="P15" s="9">
        <f t="shared" si="1"/>
        <v>0</v>
      </c>
    </row>
    <row r="16" spans="1:16" x14ac:dyDescent="0.25">
      <c r="A16" s="2" t="s">
        <v>30</v>
      </c>
      <c r="B16" s="9">
        <v>149923</v>
      </c>
      <c r="C16" s="9">
        <v>0</v>
      </c>
      <c r="D16" s="9">
        <v>35700</v>
      </c>
      <c r="E16" s="9">
        <v>151911</v>
      </c>
      <c r="F16" s="9">
        <v>35700</v>
      </c>
      <c r="G16" s="9">
        <v>35700</v>
      </c>
      <c r="H16" s="9">
        <v>152408</v>
      </c>
      <c r="I16" s="9">
        <v>35700</v>
      </c>
      <c r="J16" s="9">
        <v>35700</v>
      </c>
      <c r="K16" s="8">
        <v>0</v>
      </c>
      <c r="L16" s="9">
        <v>189248</v>
      </c>
      <c r="M16" s="8">
        <v>0</v>
      </c>
      <c r="N16" s="9">
        <f t="shared" si="2"/>
        <v>821990</v>
      </c>
      <c r="O16" s="9">
        <v>668442</v>
      </c>
      <c r="P16" s="9">
        <f t="shared" si="1"/>
        <v>-153548</v>
      </c>
    </row>
    <row r="17" spans="1:16" x14ac:dyDescent="0.25">
      <c r="A17" s="2" t="s">
        <v>31</v>
      </c>
      <c r="B17" s="9">
        <v>146347</v>
      </c>
      <c r="C17" s="9">
        <v>146139</v>
      </c>
      <c r="D17" s="9">
        <v>147343</v>
      </c>
      <c r="E17" s="9">
        <v>148404</v>
      </c>
      <c r="F17" s="9">
        <v>148923</v>
      </c>
      <c r="G17" s="9">
        <v>149253</v>
      </c>
      <c r="H17" s="9">
        <v>149598</v>
      </c>
      <c r="I17" s="9">
        <v>149106</v>
      </c>
      <c r="J17" s="9">
        <v>150058</v>
      </c>
      <c r="K17" s="9">
        <v>150361</v>
      </c>
      <c r="L17" s="9">
        <v>150962</v>
      </c>
      <c r="M17" s="8">
        <v>0</v>
      </c>
      <c r="N17" s="9">
        <f t="shared" si="2"/>
        <v>1636494</v>
      </c>
      <c r="O17" s="9">
        <v>1485532</v>
      </c>
      <c r="P17" s="9">
        <f t="shared" si="1"/>
        <v>-150962</v>
      </c>
    </row>
    <row r="18" spans="1:16" x14ac:dyDescent="0.25">
      <c r="A18" s="2" t="s">
        <v>32</v>
      </c>
      <c r="B18" s="9">
        <v>297095</v>
      </c>
      <c r="C18" s="9">
        <v>529920</v>
      </c>
      <c r="D18" s="9">
        <v>808782</v>
      </c>
      <c r="E18" s="9">
        <v>277900</v>
      </c>
      <c r="F18" s="9">
        <v>139771</v>
      </c>
      <c r="G18" s="9">
        <v>1096642</v>
      </c>
      <c r="H18" s="9">
        <v>0</v>
      </c>
      <c r="I18" s="9">
        <v>139787</v>
      </c>
      <c r="J18" s="9">
        <v>1080723</v>
      </c>
      <c r="K18" s="9">
        <v>0</v>
      </c>
      <c r="L18" s="9">
        <v>331818</v>
      </c>
      <c r="M18" s="8">
        <v>0</v>
      </c>
      <c r="N18" s="9">
        <f t="shared" si="2"/>
        <v>4702438</v>
      </c>
      <c r="O18" s="9">
        <v>3948182</v>
      </c>
      <c r="P18" s="9">
        <f t="shared" si="1"/>
        <v>-754256</v>
      </c>
    </row>
    <row r="19" spans="1:16" x14ac:dyDescent="0.25">
      <c r="A19" s="2" t="s">
        <v>33</v>
      </c>
      <c r="B19" s="11">
        <v>220000</v>
      </c>
      <c r="C19" s="11">
        <v>140000</v>
      </c>
      <c r="D19" s="11">
        <v>60000</v>
      </c>
      <c r="E19" s="11">
        <v>60000</v>
      </c>
      <c r="F19" s="11">
        <v>60000</v>
      </c>
      <c r="G19" s="11">
        <v>60000</v>
      </c>
      <c r="H19" s="11">
        <v>60000</v>
      </c>
      <c r="I19" s="11">
        <v>60000</v>
      </c>
      <c r="J19" s="11">
        <v>60000</v>
      </c>
      <c r="K19" s="11">
        <v>60000</v>
      </c>
      <c r="L19" s="11">
        <v>60000</v>
      </c>
      <c r="M19" s="8">
        <v>0</v>
      </c>
      <c r="N19" s="9">
        <f t="shared" si="2"/>
        <v>900000</v>
      </c>
      <c r="O19" s="9">
        <v>600000</v>
      </c>
      <c r="P19" s="9">
        <f t="shared" si="1"/>
        <v>-300000</v>
      </c>
    </row>
    <row r="20" spans="1:16" x14ac:dyDescent="0.25">
      <c r="A20" s="2" t="s">
        <v>34</v>
      </c>
      <c r="B20" s="8">
        <v>0</v>
      </c>
      <c r="C20" s="12">
        <v>68504</v>
      </c>
      <c r="D20" s="8">
        <v>0</v>
      </c>
      <c r="E20" s="12">
        <v>69517</v>
      </c>
      <c r="F20" s="8">
        <v>0</v>
      </c>
      <c r="G20" s="12">
        <v>69993</v>
      </c>
      <c r="H20" s="8">
        <v>0</v>
      </c>
      <c r="I20" s="12">
        <v>70055</v>
      </c>
      <c r="J20" s="8">
        <v>0</v>
      </c>
      <c r="K20" s="12">
        <v>70518</v>
      </c>
      <c r="L20" s="8">
        <v>0</v>
      </c>
      <c r="M20" s="8">
        <v>0</v>
      </c>
      <c r="N20" s="9">
        <f t="shared" si="2"/>
        <v>348587</v>
      </c>
      <c r="O20" s="9">
        <v>69504</v>
      </c>
      <c r="P20" s="9">
        <f t="shared" si="1"/>
        <v>-279083</v>
      </c>
    </row>
    <row r="21" spans="1:16" x14ac:dyDescent="0.25">
      <c r="A21" s="2" t="s">
        <v>35</v>
      </c>
      <c r="B21" s="8">
        <v>0</v>
      </c>
      <c r="C21" s="9">
        <v>136850</v>
      </c>
      <c r="D21" s="9">
        <v>136850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f t="shared" si="2"/>
        <v>273700</v>
      </c>
      <c r="O21" s="9">
        <v>273700</v>
      </c>
      <c r="P21" s="9">
        <f t="shared" si="1"/>
        <v>0</v>
      </c>
    </row>
    <row r="22" spans="1:16" x14ac:dyDescent="0.25">
      <c r="A22" s="2" t="s">
        <v>36</v>
      </c>
      <c r="B22" s="8">
        <v>0</v>
      </c>
      <c r="C22" s="8">
        <v>0</v>
      </c>
      <c r="D22" s="8">
        <v>0</v>
      </c>
      <c r="E22" s="8">
        <v>0</v>
      </c>
      <c r="F22" s="9">
        <v>82776</v>
      </c>
      <c r="G22" s="9">
        <v>23320</v>
      </c>
      <c r="H22" s="9">
        <v>23366</v>
      </c>
      <c r="I22" s="9">
        <v>23287</v>
      </c>
      <c r="J22" s="9">
        <v>23487</v>
      </c>
      <c r="K22" s="8">
        <v>0</v>
      </c>
      <c r="L22" s="8">
        <v>0</v>
      </c>
      <c r="M22" s="8">
        <v>0</v>
      </c>
      <c r="N22" s="9">
        <f t="shared" si="2"/>
        <v>176236</v>
      </c>
      <c r="O22" s="9">
        <v>0</v>
      </c>
      <c r="P22" s="9">
        <f t="shared" si="1"/>
        <v>-176236</v>
      </c>
    </row>
    <row r="23" spans="1:16" x14ac:dyDescent="0.25">
      <c r="A23" s="2" t="s">
        <v>37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9">
        <v>74705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9">
        <f t="shared" si="2"/>
        <v>74705</v>
      </c>
      <c r="O23" s="9">
        <v>74700</v>
      </c>
      <c r="P23" s="9">
        <f t="shared" si="1"/>
        <v>-5</v>
      </c>
    </row>
    <row r="24" spans="1:16" x14ac:dyDescent="0.25">
      <c r="A24" s="2" t="s">
        <v>38</v>
      </c>
      <c r="B24" s="13">
        <v>91461</v>
      </c>
      <c r="C24" s="8">
        <v>0</v>
      </c>
      <c r="D24" s="13">
        <v>92318</v>
      </c>
      <c r="E24" s="8">
        <v>0</v>
      </c>
      <c r="F24" s="13">
        <v>93222</v>
      </c>
      <c r="G24" s="8">
        <v>0</v>
      </c>
      <c r="H24" s="13">
        <v>93451</v>
      </c>
      <c r="I24" s="8">
        <v>0</v>
      </c>
      <c r="J24" s="13">
        <v>93975</v>
      </c>
      <c r="K24" s="8">
        <v>0</v>
      </c>
      <c r="L24" s="13">
        <v>94352</v>
      </c>
      <c r="M24" s="8">
        <v>0</v>
      </c>
      <c r="N24" s="9">
        <f t="shared" si="2"/>
        <v>558779</v>
      </c>
      <c r="O24" s="9">
        <v>0</v>
      </c>
      <c r="P24" s="9">
        <f t="shared" si="1"/>
        <v>-558779</v>
      </c>
    </row>
    <row r="25" spans="1:16" x14ac:dyDescent="0.25">
      <c r="A25" s="2" t="s">
        <v>39</v>
      </c>
      <c r="B25" s="9">
        <v>54877</v>
      </c>
      <c r="C25" s="8">
        <v>0</v>
      </c>
      <c r="D25" s="8">
        <v>0</v>
      </c>
      <c r="E25" s="9">
        <v>55615</v>
      </c>
      <c r="F25" s="8">
        <v>0</v>
      </c>
      <c r="G25" s="8">
        <v>0</v>
      </c>
      <c r="H25" s="9">
        <v>56012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9">
        <f t="shared" si="2"/>
        <v>166504</v>
      </c>
      <c r="O25" s="9">
        <v>0</v>
      </c>
      <c r="P25" s="9">
        <f t="shared" si="1"/>
        <v>-166504</v>
      </c>
    </row>
    <row r="26" spans="1:16" x14ac:dyDescent="0.25">
      <c r="A26" s="2" t="s">
        <v>40</v>
      </c>
      <c r="B26" s="8">
        <v>0</v>
      </c>
      <c r="C26" s="8">
        <v>0</v>
      </c>
      <c r="D26" s="9">
        <v>92651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9">
        <f t="shared" si="2"/>
        <v>92651</v>
      </c>
      <c r="O26" s="9">
        <v>0</v>
      </c>
      <c r="P26" s="9">
        <f t="shared" si="1"/>
        <v>-92651</v>
      </c>
    </row>
    <row r="27" spans="1:16" x14ac:dyDescent="0.25">
      <c r="A27" s="2" t="s">
        <v>41</v>
      </c>
      <c r="B27" s="9">
        <v>123473</v>
      </c>
      <c r="C27" s="9">
        <v>123274</v>
      </c>
      <c r="D27" s="9">
        <v>124758</v>
      </c>
      <c r="E27" s="9">
        <v>122773</v>
      </c>
      <c r="F27" s="9">
        <v>128157</v>
      </c>
      <c r="G27" s="9">
        <v>126006</v>
      </c>
      <c r="H27" s="9">
        <v>126232</v>
      </c>
      <c r="I27" s="9">
        <v>125881</v>
      </c>
      <c r="J27" s="9">
        <v>126867</v>
      </c>
      <c r="K27" s="9">
        <v>126867</v>
      </c>
      <c r="L27" s="9">
        <v>127375</v>
      </c>
      <c r="M27" s="8">
        <v>0</v>
      </c>
      <c r="N27" s="9">
        <f t="shared" si="2"/>
        <v>1381663</v>
      </c>
      <c r="O27" s="9">
        <v>1254292</v>
      </c>
      <c r="P27" s="9">
        <f t="shared" si="1"/>
        <v>-127371</v>
      </c>
    </row>
    <row r="28" spans="1:16" x14ac:dyDescent="0.25">
      <c r="A28" s="2" t="s">
        <v>42</v>
      </c>
      <c r="B28" s="9">
        <v>130000</v>
      </c>
      <c r="C28" s="8">
        <v>0</v>
      </c>
      <c r="D28" s="9">
        <v>60000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9">
        <v>60000</v>
      </c>
      <c r="K28" s="9">
        <v>50000</v>
      </c>
      <c r="L28" s="8">
        <v>0</v>
      </c>
      <c r="M28" s="8">
        <v>0</v>
      </c>
      <c r="N28" s="9">
        <f t="shared" si="2"/>
        <v>300000</v>
      </c>
      <c r="O28" s="9">
        <v>190000</v>
      </c>
      <c r="P28" s="9">
        <f t="shared" si="1"/>
        <v>-110000</v>
      </c>
    </row>
    <row r="29" spans="1:16" x14ac:dyDescent="0.25">
      <c r="A29" s="2" t="s">
        <v>43</v>
      </c>
      <c r="B29" s="9">
        <v>365914</v>
      </c>
      <c r="C29" s="9">
        <v>365325</v>
      </c>
      <c r="D29" s="9">
        <v>368504</v>
      </c>
      <c r="E29" s="9">
        <v>370516</v>
      </c>
      <c r="F29" s="9">
        <v>372408</v>
      </c>
      <c r="G29" s="9">
        <v>373179</v>
      </c>
      <c r="H29" s="9">
        <v>374023</v>
      </c>
      <c r="I29" s="9">
        <v>372597</v>
      </c>
      <c r="J29" s="9">
        <v>375794</v>
      </c>
      <c r="K29" s="9">
        <v>375903</v>
      </c>
      <c r="L29" s="9">
        <v>377406</v>
      </c>
      <c r="M29" s="8">
        <v>0</v>
      </c>
      <c r="N29" s="9">
        <f t="shared" si="2"/>
        <v>4091569</v>
      </c>
      <c r="O29" s="9">
        <v>4091569</v>
      </c>
      <c r="P29" s="9">
        <f t="shared" si="1"/>
        <v>0</v>
      </c>
    </row>
    <row r="30" spans="1:16" x14ac:dyDescent="0.25">
      <c r="A30" s="2" t="s">
        <v>44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9">
        <v>452200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9">
        <f t="shared" si="2"/>
        <v>452200</v>
      </c>
      <c r="O30" s="9">
        <v>452200</v>
      </c>
      <c r="P30" s="9">
        <f t="shared" si="1"/>
        <v>0</v>
      </c>
    </row>
    <row r="31" spans="1:16" x14ac:dyDescent="0.25">
      <c r="A31" s="2" t="s">
        <v>45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1">
        <v>190000</v>
      </c>
      <c r="I31" s="8">
        <v>0</v>
      </c>
      <c r="J31" s="11">
        <v>170000</v>
      </c>
      <c r="K31" s="8">
        <v>0</v>
      </c>
      <c r="L31" s="8">
        <v>0</v>
      </c>
      <c r="M31" s="8">
        <v>0</v>
      </c>
      <c r="N31" s="11">
        <f t="shared" si="2"/>
        <v>360000</v>
      </c>
      <c r="O31" s="11">
        <v>360000</v>
      </c>
      <c r="P31" s="9">
        <f t="shared" si="1"/>
        <v>0</v>
      </c>
    </row>
    <row r="32" spans="1:16" x14ac:dyDescent="0.25">
      <c r="A32" s="2" t="s">
        <v>46</v>
      </c>
      <c r="B32" s="9">
        <v>256092</v>
      </c>
      <c r="C32" s="9">
        <v>174629</v>
      </c>
      <c r="D32" s="8">
        <v>0</v>
      </c>
      <c r="E32" s="9">
        <v>176464</v>
      </c>
      <c r="F32" s="9">
        <v>260956</v>
      </c>
      <c r="G32" s="9">
        <v>177483</v>
      </c>
      <c r="H32" s="8">
        <v>0</v>
      </c>
      <c r="I32" s="13">
        <v>177832</v>
      </c>
      <c r="J32" s="8">
        <v>0</v>
      </c>
      <c r="K32" s="12">
        <v>442312</v>
      </c>
      <c r="L32" s="8">
        <v>0</v>
      </c>
      <c r="M32" s="8">
        <v>0</v>
      </c>
      <c r="N32" s="9">
        <f t="shared" si="2"/>
        <v>1665768</v>
      </c>
      <c r="O32" s="9">
        <v>607185</v>
      </c>
      <c r="P32" s="9">
        <f t="shared" si="1"/>
        <v>-1058583</v>
      </c>
    </row>
    <row r="33" spans="1:16" x14ac:dyDescent="0.25">
      <c r="A33" s="2" t="s">
        <v>47</v>
      </c>
      <c r="B33" s="8">
        <v>0</v>
      </c>
      <c r="C33" s="8">
        <v>0</v>
      </c>
      <c r="D33" s="9">
        <v>59500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f t="shared" ref="N33:N96" si="3">SUM(B33:M33)</f>
        <v>59500</v>
      </c>
      <c r="O33" s="9">
        <v>0</v>
      </c>
      <c r="P33" s="9">
        <f t="shared" si="1"/>
        <v>-59500</v>
      </c>
    </row>
    <row r="34" spans="1:16" x14ac:dyDescent="0.25">
      <c r="A34" s="2" t="s">
        <v>48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9">
        <v>74751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9">
        <f t="shared" si="3"/>
        <v>74751</v>
      </c>
      <c r="O34" s="9">
        <v>74751</v>
      </c>
      <c r="P34" s="9">
        <f t="shared" si="1"/>
        <v>0</v>
      </c>
    </row>
    <row r="35" spans="1:16" x14ac:dyDescent="0.25">
      <c r="A35" s="2" t="s">
        <v>49</v>
      </c>
      <c r="B35" s="8">
        <v>0</v>
      </c>
      <c r="C35" s="8">
        <v>0</v>
      </c>
      <c r="D35" s="8">
        <v>0</v>
      </c>
      <c r="E35" s="8">
        <v>0</v>
      </c>
      <c r="F35" s="9">
        <v>83847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9">
        <v>144416</v>
      </c>
      <c r="M35" s="8">
        <v>0</v>
      </c>
      <c r="N35" s="9">
        <f t="shared" si="3"/>
        <v>228263</v>
      </c>
      <c r="O35" s="9">
        <v>83847</v>
      </c>
      <c r="P35" s="9">
        <f t="shared" si="1"/>
        <v>-144416</v>
      </c>
    </row>
    <row r="36" spans="1:16" x14ac:dyDescent="0.25">
      <c r="A36" s="2" t="s">
        <v>50</v>
      </c>
      <c r="B36" s="12">
        <v>182745</v>
      </c>
      <c r="C36" s="8">
        <v>0</v>
      </c>
      <c r="D36" s="12">
        <v>184826</v>
      </c>
      <c r="E36" s="8">
        <v>0</v>
      </c>
      <c r="F36" s="8">
        <v>0</v>
      </c>
      <c r="G36" s="12">
        <v>186566</v>
      </c>
      <c r="H36" s="8">
        <v>0</v>
      </c>
      <c r="I36" s="8">
        <v>0</v>
      </c>
      <c r="J36" s="8">
        <v>0</v>
      </c>
      <c r="K36" s="12">
        <v>188218</v>
      </c>
      <c r="L36" s="8">
        <v>0</v>
      </c>
      <c r="M36" s="8">
        <v>0</v>
      </c>
      <c r="N36" s="9">
        <f t="shared" si="3"/>
        <v>742355</v>
      </c>
      <c r="O36" s="9">
        <v>742355</v>
      </c>
      <c r="P36" s="9">
        <f t="shared" si="1"/>
        <v>0</v>
      </c>
    </row>
    <row r="37" spans="1:16" x14ac:dyDescent="0.25">
      <c r="A37" s="2" t="s">
        <v>51</v>
      </c>
      <c r="B37" s="14">
        <v>95978</v>
      </c>
      <c r="C37" s="14">
        <v>179295</v>
      </c>
      <c r="D37" s="14">
        <v>180438</v>
      </c>
      <c r="E37" s="14">
        <v>181288</v>
      </c>
      <c r="F37" s="14">
        <v>181736</v>
      </c>
      <c r="G37" s="14">
        <v>182069</v>
      </c>
      <c r="H37" s="14">
        <v>182230</v>
      </c>
      <c r="I37" s="14">
        <v>182196</v>
      </c>
      <c r="J37" s="14">
        <v>183253</v>
      </c>
      <c r="K37" s="14">
        <v>302276</v>
      </c>
      <c r="L37" s="14">
        <v>183985</v>
      </c>
      <c r="M37" s="8">
        <v>0</v>
      </c>
      <c r="N37" s="9">
        <f t="shared" si="3"/>
        <v>2034744</v>
      </c>
      <c r="O37" s="9">
        <v>818735</v>
      </c>
      <c r="P37" s="9">
        <f t="shared" si="1"/>
        <v>-1216009</v>
      </c>
    </row>
    <row r="38" spans="1:16" x14ac:dyDescent="0.25">
      <c r="A38" s="2" t="s">
        <v>52</v>
      </c>
      <c r="B38" s="8">
        <v>0</v>
      </c>
      <c r="C38" s="8">
        <v>0</v>
      </c>
      <c r="D38" s="9">
        <v>260000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9">
        <v>260000</v>
      </c>
      <c r="L38" s="8">
        <v>0</v>
      </c>
      <c r="M38" s="8">
        <v>0</v>
      </c>
      <c r="N38" s="9">
        <f t="shared" si="3"/>
        <v>520000</v>
      </c>
      <c r="O38" s="9">
        <v>0</v>
      </c>
      <c r="P38" s="9">
        <f t="shared" si="1"/>
        <v>-520000</v>
      </c>
    </row>
    <row r="39" spans="1:16" x14ac:dyDescent="0.25">
      <c r="A39" s="2" t="s">
        <v>53</v>
      </c>
      <c r="B39" s="9">
        <v>107100</v>
      </c>
      <c r="C39" s="8">
        <v>0</v>
      </c>
      <c r="D39" s="9">
        <v>107100</v>
      </c>
      <c r="E39" s="8">
        <v>0</v>
      </c>
      <c r="F39" s="9">
        <v>107100</v>
      </c>
      <c r="G39" s="8">
        <v>0</v>
      </c>
      <c r="H39" s="9">
        <v>107100</v>
      </c>
      <c r="I39" s="8">
        <v>0</v>
      </c>
      <c r="J39" s="9">
        <v>107100</v>
      </c>
      <c r="K39" s="8">
        <v>0</v>
      </c>
      <c r="L39" s="9">
        <v>107100</v>
      </c>
      <c r="M39" s="8">
        <v>0</v>
      </c>
      <c r="N39" s="9">
        <f t="shared" si="3"/>
        <v>642600</v>
      </c>
      <c r="O39" s="9">
        <v>535500</v>
      </c>
      <c r="P39" s="9">
        <f t="shared" si="1"/>
        <v>-107100</v>
      </c>
    </row>
    <row r="40" spans="1:16" x14ac:dyDescent="0.25">
      <c r="A40" s="2" t="s">
        <v>54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107100</v>
      </c>
      <c r="K40" s="8">
        <v>0</v>
      </c>
      <c r="L40" s="8">
        <v>0</v>
      </c>
      <c r="M40" s="8">
        <v>0</v>
      </c>
      <c r="N40" s="9">
        <f t="shared" si="3"/>
        <v>107100</v>
      </c>
      <c r="O40" s="9">
        <v>107100</v>
      </c>
      <c r="P40" s="9">
        <f t="shared" si="1"/>
        <v>0</v>
      </c>
    </row>
    <row r="41" spans="1:16" x14ac:dyDescent="0.25">
      <c r="A41" s="2" t="s">
        <v>55</v>
      </c>
      <c r="B41" s="8">
        <v>0</v>
      </c>
      <c r="C41" s="9">
        <v>376470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9">
        <f t="shared" si="3"/>
        <v>376470</v>
      </c>
      <c r="O41" s="9">
        <v>376470</v>
      </c>
      <c r="P41" s="9">
        <f t="shared" si="1"/>
        <v>0</v>
      </c>
    </row>
    <row r="42" spans="1:16" x14ac:dyDescent="0.25">
      <c r="A42" s="2" t="s">
        <v>56</v>
      </c>
      <c r="B42" s="8">
        <v>0</v>
      </c>
      <c r="C42" s="9">
        <v>744529</v>
      </c>
      <c r="D42" s="8">
        <v>0</v>
      </c>
      <c r="E42" s="9">
        <v>232299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f t="shared" si="3"/>
        <v>976828</v>
      </c>
      <c r="O42" s="9">
        <v>976828</v>
      </c>
      <c r="P42" s="9">
        <f t="shared" si="1"/>
        <v>0</v>
      </c>
    </row>
    <row r="43" spans="1:16" x14ac:dyDescent="0.25">
      <c r="A43" s="2" t="s">
        <v>57</v>
      </c>
      <c r="B43" s="8">
        <v>0</v>
      </c>
      <c r="C43" s="9">
        <v>367353</v>
      </c>
      <c r="D43" s="8">
        <v>0</v>
      </c>
      <c r="E43" s="8">
        <v>0</v>
      </c>
      <c r="F43" s="9">
        <v>100000</v>
      </c>
      <c r="G43" s="8">
        <v>0</v>
      </c>
      <c r="H43" s="8">
        <v>0</v>
      </c>
      <c r="I43" s="9">
        <v>59500</v>
      </c>
      <c r="J43" s="8">
        <v>0</v>
      </c>
      <c r="K43" s="8">
        <v>0</v>
      </c>
      <c r="L43" s="8">
        <v>0</v>
      </c>
      <c r="M43" s="8">
        <v>0</v>
      </c>
      <c r="N43" s="9">
        <f t="shared" si="3"/>
        <v>526853</v>
      </c>
      <c r="O43" s="9">
        <v>526853</v>
      </c>
      <c r="P43" s="9">
        <f t="shared" si="1"/>
        <v>0</v>
      </c>
    </row>
    <row r="44" spans="1:16" x14ac:dyDescent="0.25">
      <c r="A44" s="2" t="s">
        <v>58</v>
      </c>
      <c r="B44" s="8">
        <v>0</v>
      </c>
      <c r="C44" s="9">
        <v>261800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f t="shared" si="3"/>
        <v>261800</v>
      </c>
      <c r="O44" s="9">
        <v>261800</v>
      </c>
      <c r="P44" s="9">
        <f t="shared" si="1"/>
        <v>0</v>
      </c>
    </row>
    <row r="45" spans="1:16" x14ac:dyDescent="0.25">
      <c r="A45" s="2" t="s">
        <v>59</v>
      </c>
      <c r="B45" s="8">
        <v>0</v>
      </c>
      <c r="C45" s="9">
        <v>452200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9">
        <f t="shared" si="3"/>
        <v>452200</v>
      </c>
      <c r="O45" s="9">
        <v>452200</v>
      </c>
      <c r="P45" s="9">
        <f t="shared" si="1"/>
        <v>0</v>
      </c>
    </row>
    <row r="46" spans="1:16" x14ac:dyDescent="0.25">
      <c r="A46" s="2" t="s">
        <v>60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9">
        <v>737710</v>
      </c>
      <c r="K46" s="9">
        <v>739260</v>
      </c>
      <c r="L46" s="9">
        <v>740661</v>
      </c>
      <c r="M46" s="8">
        <v>0</v>
      </c>
      <c r="N46" s="9">
        <f t="shared" si="3"/>
        <v>2217631</v>
      </c>
      <c r="O46" s="9">
        <v>1476970</v>
      </c>
      <c r="P46" s="9">
        <f t="shared" si="1"/>
        <v>-740661</v>
      </c>
    </row>
    <row r="47" spans="1:16" x14ac:dyDescent="0.25">
      <c r="A47" s="2" t="s">
        <v>61</v>
      </c>
      <c r="B47" s="9">
        <v>428400</v>
      </c>
      <c r="C47" s="9">
        <v>285600</v>
      </c>
      <c r="D47" s="9">
        <v>285600</v>
      </c>
      <c r="E47" s="9">
        <v>714000</v>
      </c>
      <c r="F47" s="9">
        <v>285600</v>
      </c>
      <c r="G47" s="9">
        <v>571200</v>
      </c>
      <c r="H47" s="9">
        <v>285600</v>
      </c>
      <c r="I47" s="9">
        <v>428400</v>
      </c>
      <c r="J47" s="9">
        <v>684250</v>
      </c>
      <c r="K47" s="9">
        <v>428400</v>
      </c>
      <c r="L47" s="9">
        <v>398650</v>
      </c>
      <c r="M47" s="8">
        <v>0</v>
      </c>
      <c r="N47" s="9">
        <f t="shared" si="3"/>
        <v>4795700</v>
      </c>
      <c r="O47" s="9">
        <v>4397050</v>
      </c>
      <c r="P47" s="9">
        <f t="shared" si="1"/>
        <v>-398650</v>
      </c>
    </row>
    <row r="48" spans="1:16" x14ac:dyDescent="0.25">
      <c r="A48" s="2" t="s">
        <v>62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9">
        <v>178500</v>
      </c>
      <c r="M48" s="8">
        <v>0</v>
      </c>
      <c r="N48" s="9">
        <f t="shared" si="3"/>
        <v>178500</v>
      </c>
      <c r="O48" s="9">
        <v>0</v>
      </c>
      <c r="P48" s="9">
        <f t="shared" si="1"/>
        <v>-178500</v>
      </c>
    </row>
    <row r="49" spans="1:16" x14ac:dyDescent="0.25">
      <c r="A49" s="2" t="s">
        <v>63</v>
      </c>
      <c r="B49" s="8">
        <v>0</v>
      </c>
      <c r="C49" s="8">
        <v>0</v>
      </c>
      <c r="D49" s="9">
        <v>166600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9">
        <f t="shared" si="3"/>
        <v>166600</v>
      </c>
      <c r="O49" s="9">
        <v>166600</v>
      </c>
      <c r="P49" s="9">
        <f t="shared" si="1"/>
        <v>0</v>
      </c>
    </row>
    <row r="50" spans="1:16" x14ac:dyDescent="0.25">
      <c r="A50" s="2" t="s">
        <v>64</v>
      </c>
      <c r="B50" s="9">
        <v>342874</v>
      </c>
      <c r="C50" s="9">
        <v>342827</v>
      </c>
      <c r="D50" s="9">
        <v>346162</v>
      </c>
      <c r="E50" s="9">
        <v>231764</v>
      </c>
      <c r="F50" s="9">
        <v>232938</v>
      </c>
      <c r="G50" s="9">
        <v>233342</v>
      </c>
      <c r="H50" s="9">
        <v>233778</v>
      </c>
      <c r="I50" s="9">
        <v>233114</v>
      </c>
      <c r="J50" s="9">
        <v>234532</v>
      </c>
      <c r="K50" s="9">
        <v>234940</v>
      </c>
      <c r="L50" s="9">
        <v>377408</v>
      </c>
      <c r="M50" s="8">
        <v>0</v>
      </c>
      <c r="N50" s="9">
        <f t="shared" si="3"/>
        <v>3043679</v>
      </c>
      <c r="O50" s="9">
        <v>2667214</v>
      </c>
      <c r="P50" s="9">
        <f t="shared" si="1"/>
        <v>-376465</v>
      </c>
    </row>
    <row r="51" spans="1:16" x14ac:dyDescent="0.25">
      <c r="A51" s="2" t="s">
        <v>65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9">
        <v>178500</v>
      </c>
      <c r="I51" s="9">
        <v>178500</v>
      </c>
      <c r="J51" s="9">
        <v>178500</v>
      </c>
      <c r="K51" s="9">
        <v>178500</v>
      </c>
      <c r="L51" s="9">
        <v>178500</v>
      </c>
      <c r="M51" s="8">
        <v>0</v>
      </c>
      <c r="N51" s="9">
        <f t="shared" si="3"/>
        <v>892500</v>
      </c>
      <c r="O51" s="9">
        <v>535500</v>
      </c>
      <c r="P51" s="9">
        <f t="shared" si="1"/>
        <v>-357000</v>
      </c>
    </row>
    <row r="52" spans="1:16" x14ac:dyDescent="0.25">
      <c r="A52" s="2" t="s">
        <v>66</v>
      </c>
      <c r="B52" s="13">
        <v>103089</v>
      </c>
      <c r="C52" s="8">
        <v>0</v>
      </c>
      <c r="D52" s="13">
        <v>103089</v>
      </c>
      <c r="E52" s="8">
        <v>0</v>
      </c>
      <c r="F52" s="8">
        <v>0</v>
      </c>
      <c r="G52" s="8">
        <v>0</v>
      </c>
      <c r="H52" s="13">
        <v>103089</v>
      </c>
      <c r="I52" s="8">
        <v>0</v>
      </c>
      <c r="J52" s="8">
        <v>0</v>
      </c>
      <c r="K52" s="13">
        <v>103089</v>
      </c>
      <c r="L52" s="8">
        <v>0</v>
      </c>
      <c r="M52" s="8">
        <v>0</v>
      </c>
      <c r="N52" s="9">
        <f t="shared" si="3"/>
        <v>412356</v>
      </c>
      <c r="O52" s="15">
        <v>412356</v>
      </c>
      <c r="P52" s="9">
        <f t="shared" si="1"/>
        <v>0</v>
      </c>
    </row>
    <row r="53" spans="1:16" x14ac:dyDescent="0.25">
      <c r="A53" s="2" t="s">
        <v>67</v>
      </c>
      <c r="B53" s="8">
        <v>0</v>
      </c>
      <c r="C53" s="9">
        <v>380800</v>
      </c>
      <c r="D53" s="9">
        <v>261800</v>
      </c>
      <c r="E53" s="9">
        <v>166600</v>
      </c>
      <c r="F53" s="9">
        <v>166600</v>
      </c>
      <c r="G53" s="9">
        <v>166600</v>
      </c>
      <c r="H53" s="9">
        <v>297500</v>
      </c>
      <c r="I53" s="9">
        <v>166600</v>
      </c>
      <c r="J53" s="9">
        <v>166600</v>
      </c>
      <c r="K53" s="9">
        <v>487900</v>
      </c>
      <c r="L53" s="8">
        <v>0</v>
      </c>
      <c r="M53" s="8">
        <v>0</v>
      </c>
      <c r="N53" s="9">
        <f t="shared" si="3"/>
        <v>2261000</v>
      </c>
      <c r="O53" s="9">
        <v>2261000</v>
      </c>
      <c r="P53" s="9">
        <f t="shared" si="1"/>
        <v>0</v>
      </c>
    </row>
    <row r="54" spans="1:16" x14ac:dyDescent="0.25">
      <c r="A54" s="2" t="s">
        <v>68</v>
      </c>
      <c r="B54" s="9">
        <v>95200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9">
        <f t="shared" si="3"/>
        <v>95200</v>
      </c>
      <c r="O54" s="9">
        <v>95200</v>
      </c>
      <c r="P54" s="9">
        <f t="shared" si="1"/>
        <v>0</v>
      </c>
    </row>
    <row r="55" spans="1:16" x14ac:dyDescent="0.25">
      <c r="A55" s="2" t="s">
        <v>69</v>
      </c>
      <c r="B55" s="8">
        <v>0</v>
      </c>
      <c r="C55" s="8">
        <v>0</v>
      </c>
      <c r="D55" s="9">
        <v>147574</v>
      </c>
      <c r="E55" s="8">
        <v>0</v>
      </c>
      <c r="F55" s="8">
        <v>0</v>
      </c>
      <c r="G55" s="8">
        <v>0</v>
      </c>
      <c r="H55" s="8">
        <v>0</v>
      </c>
      <c r="I55" s="9">
        <v>493613</v>
      </c>
      <c r="J55" s="8">
        <v>0</v>
      </c>
      <c r="K55" s="8">
        <v>0</v>
      </c>
      <c r="L55" s="8">
        <v>0</v>
      </c>
      <c r="M55" s="8">
        <v>0</v>
      </c>
      <c r="N55" s="9">
        <f t="shared" si="3"/>
        <v>641187</v>
      </c>
      <c r="O55" s="9">
        <v>491303</v>
      </c>
      <c r="P55" s="9">
        <f t="shared" si="1"/>
        <v>-149884</v>
      </c>
    </row>
    <row r="56" spans="1:16" x14ac:dyDescent="0.25">
      <c r="A56" s="2" t="s">
        <v>70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9">
        <v>476000</v>
      </c>
      <c r="I56" s="9">
        <v>95200</v>
      </c>
      <c r="J56" s="9">
        <v>95200</v>
      </c>
      <c r="K56" s="9">
        <v>95200</v>
      </c>
      <c r="L56" s="9">
        <v>95200</v>
      </c>
      <c r="M56" s="8">
        <v>0</v>
      </c>
      <c r="N56" s="9">
        <f t="shared" si="3"/>
        <v>856800</v>
      </c>
      <c r="O56" s="9">
        <v>571200</v>
      </c>
      <c r="P56" s="9">
        <f t="shared" si="1"/>
        <v>-285600</v>
      </c>
    </row>
    <row r="57" spans="1:16" x14ac:dyDescent="0.25">
      <c r="A57" s="2" t="s">
        <v>71</v>
      </c>
      <c r="B57" s="9">
        <v>315194</v>
      </c>
      <c r="C57" s="9">
        <v>317336</v>
      </c>
      <c r="D57" s="9">
        <v>319194</v>
      </c>
      <c r="E57" s="9">
        <v>320847</v>
      </c>
      <c r="F57" s="9">
        <v>321764</v>
      </c>
      <c r="G57" s="9">
        <v>322356</v>
      </c>
      <c r="H57" s="9">
        <v>321740</v>
      </c>
      <c r="I57" s="9">
        <v>323094</v>
      </c>
      <c r="J57" s="9">
        <v>324216</v>
      </c>
      <c r="K57" s="9">
        <v>325093</v>
      </c>
      <c r="L57" s="9">
        <v>325514</v>
      </c>
      <c r="M57" s="8">
        <v>0</v>
      </c>
      <c r="N57" s="9">
        <f t="shared" si="3"/>
        <v>3536348</v>
      </c>
      <c r="O57" s="9">
        <v>2887740</v>
      </c>
      <c r="P57" s="9">
        <f t="shared" si="1"/>
        <v>-648608</v>
      </c>
    </row>
    <row r="58" spans="1:16" x14ac:dyDescent="0.25">
      <c r="A58" s="2" t="s">
        <v>72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9">
        <v>122657</v>
      </c>
      <c r="N58" s="9">
        <f t="shared" si="3"/>
        <v>122657</v>
      </c>
      <c r="O58" s="9">
        <v>0</v>
      </c>
      <c r="P58" s="9">
        <f t="shared" si="1"/>
        <v>-122657</v>
      </c>
    </row>
    <row r="59" spans="1:16" x14ac:dyDescent="0.25">
      <c r="A59" s="2" t="s">
        <v>73</v>
      </c>
      <c r="B59" s="9">
        <v>173765</v>
      </c>
      <c r="C59" s="8">
        <v>0</v>
      </c>
      <c r="D59" s="8">
        <v>0</v>
      </c>
      <c r="E59" s="9">
        <v>176434</v>
      </c>
      <c r="F59" s="8">
        <v>0</v>
      </c>
      <c r="G59" s="8">
        <v>0</v>
      </c>
      <c r="H59" s="9">
        <v>177328</v>
      </c>
      <c r="I59" s="8">
        <v>0</v>
      </c>
      <c r="J59" s="8">
        <v>0</v>
      </c>
      <c r="K59" s="9">
        <v>178692</v>
      </c>
      <c r="L59" s="8">
        <v>0</v>
      </c>
      <c r="M59" s="8">
        <v>0</v>
      </c>
      <c r="N59" s="9">
        <f>SUM(B59:M59)</f>
        <v>706219</v>
      </c>
      <c r="O59" s="9">
        <v>706219</v>
      </c>
      <c r="P59" s="9">
        <f t="shared" si="1"/>
        <v>0</v>
      </c>
    </row>
    <row r="60" spans="1:16" x14ac:dyDescent="0.25">
      <c r="A60" s="2" t="s">
        <v>74</v>
      </c>
      <c r="B60" s="9">
        <v>91455</v>
      </c>
      <c r="C60" s="9">
        <v>91373</v>
      </c>
      <c r="D60" s="9">
        <v>92413</v>
      </c>
      <c r="E60" s="9">
        <v>92690</v>
      </c>
      <c r="F60" s="9">
        <v>93163</v>
      </c>
      <c r="G60" s="9">
        <v>93332</v>
      </c>
      <c r="H60" s="9">
        <v>93505</v>
      </c>
      <c r="I60" s="9">
        <v>168111</v>
      </c>
      <c r="J60" s="9">
        <v>169129</v>
      </c>
      <c r="K60" s="9">
        <v>167350</v>
      </c>
      <c r="L60" s="9">
        <v>169773</v>
      </c>
      <c r="M60" s="8">
        <v>0</v>
      </c>
      <c r="N60" s="9">
        <f t="shared" si="3"/>
        <v>1322294</v>
      </c>
      <c r="O60" s="9">
        <v>1322294</v>
      </c>
      <c r="P60" s="9">
        <f t="shared" si="1"/>
        <v>0</v>
      </c>
    </row>
    <row r="61" spans="1:16" x14ac:dyDescent="0.25">
      <c r="A61" s="2" t="s">
        <v>75</v>
      </c>
      <c r="B61" s="9">
        <v>73183</v>
      </c>
      <c r="C61" s="9">
        <v>73065</v>
      </c>
      <c r="D61" s="9">
        <v>73787</v>
      </c>
      <c r="E61" s="9">
        <v>74074</v>
      </c>
      <c r="F61" s="9">
        <v>74539</v>
      </c>
      <c r="G61" s="9">
        <v>74636</v>
      </c>
      <c r="H61" s="9">
        <v>121557</v>
      </c>
      <c r="I61" s="9">
        <v>74809</v>
      </c>
      <c r="J61" s="9">
        <v>121639</v>
      </c>
      <c r="K61" s="9">
        <v>122169</v>
      </c>
      <c r="L61" s="9">
        <v>122342</v>
      </c>
      <c r="M61" s="9">
        <v>122657</v>
      </c>
      <c r="N61" s="9">
        <f t="shared" si="3"/>
        <v>1128457</v>
      </c>
      <c r="O61" s="9">
        <v>1129027</v>
      </c>
      <c r="P61" s="9">
        <f t="shared" si="1"/>
        <v>570</v>
      </c>
    </row>
    <row r="62" spans="1:16" x14ac:dyDescent="0.25">
      <c r="A62" s="2" t="s">
        <v>76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9">
        <v>2856000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9">
        <f t="shared" si="3"/>
        <v>2856000</v>
      </c>
      <c r="O62" s="9">
        <v>2856000</v>
      </c>
      <c r="P62" s="9">
        <f t="shared" si="1"/>
        <v>0</v>
      </c>
    </row>
    <row r="63" spans="1:16" x14ac:dyDescent="0.25">
      <c r="A63" s="2" t="s">
        <v>77</v>
      </c>
      <c r="B63" s="9">
        <v>109775</v>
      </c>
      <c r="C63" s="9">
        <v>109605</v>
      </c>
      <c r="D63" s="9">
        <v>110508</v>
      </c>
      <c r="E63" s="9">
        <v>111096</v>
      </c>
      <c r="F63" s="9">
        <v>111692</v>
      </c>
      <c r="G63" s="9">
        <v>111954</v>
      </c>
      <c r="H63" s="9">
        <v>112199</v>
      </c>
      <c r="I63" s="9">
        <v>111779</v>
      </c>
      <c r="J63" s="9">
        <v>112770</v>
      </c>
      <c r="K63" s="9">
        <v>112887</v>
      </c>
      <c r="L63" s="9">
        <v>113223</v>
      </c>
      <c r="M63" s="8">
        <v>0</v>
      </c>
      <c r="N63" s="9">
        <f t="shared" si="3"/>
        <v>1227488</v>
      </c>
      <c r="O63" s="9">
        <v>996483</v>
      </c>
      <c r="P63" s="9">
        <f t="shared" si="1"/>
        <v>-231005</v>
      </c>
    </row>
    <row r="64" spans="1:16" x14ac:dyDescent="0.25">
      <c r="A64" s="2" t="s">
        <v>78</v>
      </c>
      <c r="B64" s="9">
        <v>110249</v>
      </c>
      <c r="C64" s="9">
        <v>110910</v>
      </c>
      <c r="D64" s="9">
        <v>111451</v>
      </c>
      <c r="E64" s="9">
        <v>111867</v>
      </c>
      <c r="F64" s="9">
        <v>112065</v>
      </c>
      <c r="G64" s="9">
        <v>112084</v>
      </c>
      <c r="H64" s="9">
        <v>112186</v>
      </c>
      <c r="I64" s="9">
        <v>112770</v>
      </c>
      <c r="J64" s="9">
        <v>112887</v>
      </c>
      <c r="K64" s="9">
        <v>113223</v>
      </c>
      <c r="L64" s="8">
        <v>0</v>
      </c>
      <c r="M64" s="8">
        <v>0</v>
      </c>
      <c r="N64" s="9">
        <f t="shared" si="3"/>
        <v>1119692</v>
      </c>
      <c r="O64" s="9">
        <v>444477</v>
      </c>
      <c r="P64" s="9">
        <f t="shared" si="1"/>
        <v>-675215</v>
      </c>
    </row>
    <row r="65" spans="1:16" x14ac:dyDescent="0.25">
      <c r="A65" s="2" t="s">
        <v>79</v>
      </c>
      <c r="B65" s="9">
        <v>91367</v>
      </c>
      <c r="C65" s="9">
        <v>91838</v>
      </c>
      <c r="D65" s="9">
        <v>92449</v>
      </c>
      <c r="E65" s="9">
        <v>92922</v>
      </c>
      <c r="F65" s="9">
        <v>93222</v>
      </c>
      <c r="G65" s="9">
        <v>93388</v>
      </c>
      <c r="H65" s="9">
        <v>93403</v>
      </c>
      <c r="I65" s="9">
        <v>93488</v>
      </c>
      <c r="J65" s="9">
        <v>93975</v>
      </c>
      <c r="K65" s="9">
        <v>94073</v>
      </c>
      <c r="L65" s="9">
        <v>94352</v>
      </c>
      <c r="M65" s="8">
        <v>0</v>
      </c>
      <c r="N65" s="9">
        <f t="shared" si="3"/>
        <v>1024477</v>
      </c>
      <c r="O65" s="9">
        <v>555186</v>
      </c>
      <c r="P65" s="9">
        <f t="shared" si="1"/>
        <v>-469291</v>
      </c>
    </row>
    <row r="66" spans="1:16" x14ac:dyDescent="0.25">
      <c r="A66" s="2" t="s">
        <v>80</v>
      </c>
      <c r="B66" s="8">
        <v>0</v>
      </c>
      <c r="C66" s="8">
        <v>0</v>
      </c>
      <c r="D66" s="9">
        <v>83300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9">
        <f t="shared" si="3"/>
        <v>83300</v>
      </c>
      <c r="O66" s="9">
        <v>83300</v>
      </c>
      <c r="P66" s="9">
        <f t="shared" si="1"/>
        <v>0</v>
      </c>
    </row>
    <row r="67" spans="1:16" x14ac:dyDescent="0.25">
      <c r="A67" s="2" t="s">
        <v>81</v>
      </c>
      <c r="B67" s="8">
        <v>0</v>
      </c>
      <c r="C67" s="8">
        <v>0</v>
      </c>
      <c r="D67" s="8">
        <v>0</v>
      </c>
      <c r="E67" s="9">
        <v>391725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9">
        <f t="shared" si="3"/>
        <v>391725</v>
      </c>
      <c r="O67" s="9">
        <v>391725</v>
      </c>
      <c r="P67" s="9">
        <f t="shared" ref="P67:P130" si="4">+O67-N67</f>
        <v>0</v>
      </c>
    </row>
    <row r="68" spans="1:16" x14ac:dyDescent="0.25">
      <c r="A68" s="2" t="s">
        <v>82</v>
      </c>
      <c r="B68" s="9">
        <v>123187</v>
      </c>
      <c r="C68" s="9">
        <v>73098</v>
      </c>
      <c r="D68" s="9">
        <v>73854</v>
      </c>
      <c r="E68" s="9">
        <v>74122</v>
      </c>
      <c r="F68" s="9">
        <v>74525</v>
      </c>
      <c r="G68" s="9">
        <v>74659</v>
      </c>
      <c r="H68" s="9">
        <v>74800</v>
      </c>
      <c r="I68" s="9">
        <v>74596</v>
      </c>
      <c r="J68" s="9">
        <v>75181</v>
      </c>
      <c r="K68" s="9">
        <v>75229</v>
      </c>
      <c r="L68" s="9">
        <v>75482</v>
      </c>
      <c r="M68" s="8">
        <v>0</v>
      </c>
      <c r="N68" s="9">
        <f t="shared" si="3"/>
        <v>868733</v>
      </c>
      <c r="O68" s="9">
        <v>518245</v>
      </c>
      <c r="P68" s="9">
        <f t="shared" si="4"/>
        <v>-350488</v>
      </c>
    </row>
    <row r="69" spans="1:16" x14ac:dyDescent="0.25">
      <c r="A69" s="2" t="s">
        <v>83</v>
      </c>
      <c r="B69" s="9">
        <v>201110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9">
        <v>528170</v>
      </c>
      <c r="I69" s="9">
        <v>681870</v>
      </c>
      <c r="J69" s="8">
        <v>0</v>
      </c>
      <c r="K69" s="9">
        <v>395675</v>
      </c>
      <c r="L69" s="9">
        <v>420665</v>
      </c>
      <c r="M69" s="8">
        <v>0</v>
      </c>
      <c r="N69" s="9">
        <f t="shared" si="3"/>
        <v>2227490</v>
      </c>
      <c r="O69" s="9">
        <v>1806825</v>
      </c>
      <c r="P69" s="9">
        <f t="shared" si="4"/>
        <v>-420665</v>
      </c>
    </row>
    <row r="70" spans="1:16" x14ac:dyDescent="0.25">
      <c r="A70" s="2" t="s">
        <v>84</v>
      </c>
      <c r="B70" s="9">
        <v>0</v>
      </c>
      <c r="C70" s="9">
        <v>182663</v>
      </c>
      <c r="D70" s="9">
        <v>184636</v>
      </c>
      <c r="E70" s="9">
        <v>185303</v>
      </c>
      <c r="F70" s="9">
        <v>304303</v>
      </c>
      <c r="G70" s="9">
        <v>186590</v>
      </c>
      <c r="H70" s="9">
        <v>186999</v>
      </c>
      <c r="I70" s="9">
        <v>186815</v>
      </c>
      <c r="J70" s="9">
        <v>187952</v>
      </c>
      <c r="K70" s="9">
        <v>188049</v>
      </c>
      <c r="L70" s="9">
        <v>188703</v>
      </c>
      <c r="M70" s="8">
        <v>0</v>
      </c>
      <c r="N70" s="9">
        <f t="shared" si="3"/>
        <v>1982013</v>
      </c>
      <c r="O70" s="9">
        <v>1794405</v>
      </c>
      <c r="P70" s="9">
        <f t="shared" si="4"/>
        <v>-187608</v>
      </c>
    </row>
    <row r="71" spans="1:16" x14ac:dyDescent="0.25">
      <c r="A71" s="2" t="s">
        <v>85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79427</v>
      </c>
      <c r="H71" s="9">
        <v>79290</v>
      </c>
      <c r="I71" s="9">
        <v>79465</v>
      </c>
      <c r="J71" s="9">
        <v>79880</v>
      </c>
      <c r="K71" s="9">
        <v>79951</v>
      </c>
      <c r="L71" s="9">
        <v>80199</v>
      </c>
      <c r="M71" s="8">
        <v>0</v>
      </c>
      <c r="N71" s="9">
        <f t="shared" si="3"/>
        <v>478212</v>
      </c>
      <c r="O71" s="9">
        <v>0</v>
      </c>
      <c r="P71" s="9">
        <f t="shared" si="4"/>
        <v>-478212</v>
      </c>
    </row>
    <row r="72" spans="1:16" x14ac:dyDescent="0.25">
      <c r="A72" s="2" t="s">
        <v>86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191584</v>
      </c>
      <c r="H72" s="9">
        <v>191228</v>
      </c>
      <c r="I72" s="9">
        <v>191595</v>
      </c>
      <c r="J72" s="9">
        <v>192650</v>
      </c>
      <c r="K72" s="9">
        <v>193148</v>
      </c>
      <c r="L72" s="9">
        <v>193421</v>
      </c>
      <c r="M72" s="8">
        <v>0</v>
      </c>
      <c r="N72" s="9">
        <f t="shared" si="3"/>
        <v>1153626</v>
      </c>
      <c r="O72" s="9">
        <v>960205</v>
      </c>
      <c r="P72" s="9">
        <f t="shared" si="4"/>
        <v>-193421</v>
      </c>
    </row>
    <row r="73" spans="1:16" x14ac:dyDescent="0.25">
      <c r="A73" s="2" t="s">
        <v>87</v>
      </c>
      <c r="B73" s="9">
        <v>91461</v>
      </c>
      <c r="C73" s="9">
        <v>0</v>
      </c>
      <c r="D73" s="9">
        <v>0</v>
      </c>
      <c r="E73" s="9">
        <v>92860</v>
      </c>
      <c r="F73" s="9">
        <v>0</v>
      </c>
      <c r="G73" s="9">
        <v>0</v>
      </c>
      <c r="H73" s="9">
        <v>93354</v>
      </c>
      <c r="I73" s="9">
        <v>0</v>
      </c>
      <c r="J73" s="9">
        <v>0</v>
      </c>
      <c r="K73" s="9">
        <v>94193</v>
      </c>
      <c r="L73" s="8">
        <v>0</v>
      </c>
      <c r="M73" s="8">
        <v>0</v>
      </c>
      <c r="N73" s="9">
        <f t="shared" si="3"/>
        <v>371868</v>
      </c>
      <c r="O73" s="9">
        <v>371868</v>
      </c>
      <c r="P73" s="9">
        <f t="shared" si="4"/>
        <v>0</v>
      </c>
    </row>
    <row r="74" spans="1:16" x14ac:dyDescent="0.25">
      <c r="A74" s="2" t="s">
        <v>88</v>
      </c>
      <c r="B74" s="9">
        <v>71400</v>
      </c>
      <c r="C74" s="9">
        <v>161400</v>
      </c>
      <c r="D74" s="9">
        <v>0</v>
      </c>
      <c r="E74" s="9">
        <v>0</v>
      </c>
      <c r="F74" s="9">
        <v>0</v>
      </c>
      <c r="G74" s="15">
        <v>142800</v>
      </c>
      <c r="H74" s="9">
        <v>0</v>
      </c>
      <c r="I74" s="9">
        <v>0</v>
      </c>
      <c r="J74" s="9">
        <v>0</v>
      </c>
      <c r="K74" s="15">
        <v>83300</v>
      </c>
      <c r="L74" s="15">
        <v>95200</v>
      </c>
      <c r="M74" s="9">
        <v>0</v>
      </c>
      <c r="N74" s="9">
        <f t="shared" si="3"/>
        <v>554100</v>
      </c>
      <c r="O74" s="9">
        <v>161400</v>
      </c>
      <c r="P74" s="9">
        <f t="shared" si="4"/>
        <v>-392700</v>
      </c>
    </row>
    <row r="75" spans="1:16" x14ac:dyDescent="0.25">
      <c r="A75" s="2" t="s">
        <v>89</v>
      </c>
      <c r="B75" s="9">
        <v>91407</v>
      </c>
      <c r="C75" s="9">
        <v>114529</v>
      </c>
      <c r="D75" s="9">
        <v>0</v>
      </c>
      <c r="E75" s="9">
        <v>0</v>
      </c>
      <c r="F75" s="9">
        <v>116461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f t="shared" si="3"/>
        <v>322397</v>
      </c>
      <c r="O75" s="9">
        <v>322397</v>
      </c>
      <c r="P75" s="9">
        <f t="shared" si="4"/>
        <v>0</v>
      </c>
    </row>
    <row r="76" spans="1:16" x14ac:dyDescent="0.25">
      <c r="A76" s="2" t="s">
        <v>90</v>
      </c>
      <c r="B76" s="9">
        <v>0</v>
      </c>
      <c r="C76" s="9">
        <v>0</v>
      </c>
      <c r="D76" s="9">
        <v>244674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f t="shared" si="3"/>
        <v>244674</v>
      </c>
      <c r="O76" s="9">
        <v>244674</v>
      </c>
      <c r="P76" s="9">
        <f t="shared" si="4"/>
        <v>0</v>
      </c>
    </row>
    <row r="77" spans="1:16" x14ac:dyDescent="0.25">
      <c r="A77" s="2" t="s">
        <v>91</v>
      </c>
      <c r="B77" s="9">
        <v>0</v>
      </c>
      <c r="C77" s="9">
        <v>0</v>
      </c>
      <c r="D77" s="9">
        <v>69829</v>
      </c>
      <c r="E77" s="9">
        <v>0</v>
      </c>
      <c r="F77" s="9">
        <v>0</v>
      </c>
      <c r="G77" s="9">
        <v>70582</v>
      </c>
      <c r="H77" s="9">
        <v>0</v>
      </c>
      <c r="I77" s="9">
        <v>70513</v>
      </c>
      <c r="J77" s="9">
        <v>71074</v>
      </c>
      <c r="K77" s="9">
        <v>0</v>
      </c>
      <c r="L77" s="9">
        <v>0</v>
      </c>
      <c r="M77" s="9">
        <v>0</v>
      </c>
      <c r="N77" s="9">
        <f t="shared" si="3"/>
        <v>281998</v>
      </c>
      <c r="O77" s="9">
        <v>281998</v>
      </c>
      <c r="P77" s="9">
        <f t="shared" si="4"/>
        <v>0</v>
      </c>
    </row>
    <row r="78" spans="1:16" x14ac:dyDescent="0.25">
      <c r="A78" s="2" t="s">
        <v>92</v>
      </c>
      <c r="B78" s="9">
        <v>0</v>
      </c>
      <c r="C78" s="9">
        <v>0</v>
      </c>
      <c r="D78" s="9">
        <v>143258</v>
      </c>
      <c r="E78" s="9">
        <v>143838</v>
      </c>
      <c r="F78" s="9">
        <v>144552</v>
      </c>
      <c r="G78" s="9">
        <v>144817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f t="shared" si="3"/>
        <v>576465</v>
      </c>
      <c r="O78" s="9">
        <v>0</v>
      </c>
      <c r="P78" s="9">
        <f t="shared" si="4"/>
        <v>-576465</v>
      </c>
    </row>
    <row r="79" spans="1:16" x14ac:dyDescent="0.25">
      <c r="A79" s="2" t="s">
        <v>93</v>
      </c>
      <c r="B79" s="9">
        <v>119000</v>
      </c>
      <c r="C79" s="9">
        <v>130900</v>
      </c>
      <c r="D79" s="9">
        <v>0</v>
      </c>
      <c r="E79" s="9">
        <v>166600</v>
      </c>
      <c r="F79" s="9">
        <v>142800</v>
      </c>
      <c r="G79" s="9">
        <v>0</v>
      </c>
      <c r="H79" s="9">
        <v>0</v>
      </c>
      <c r="I79" s="9">
        <v>130900</v>
      </c>
      <c r="J79" s="9">
        <v>0</v>
      </c>
      <c r="K79" s="9">
        <v>142800</v>
      </c>
      <c r="L79" s="9">
        <v>0</v>
      </c>
      <c r="M79" s="9">
        <v>0</v>
      </c>
      <c r="N79" s="9">
        <f t="shared" si="3"/>
        <v>833000</v>
      </c>
      <c r="O79" s="9">
        <v>833000</v>
      </c>
      <c r="P79" s="9">
        <f t="shared" si="4"/>
        <v>0</v>
      </c>
    </row>
    <row r="80" spans="1:16" x14ac:dyDescent="0.25">
      <c r="A80" s="2" t="s">
        <v>94</v>
      </c>
      <c r="B80" s="9">
        <v>142800</v>
      </c>
      <c r="C80" s="9">
        <v>0</v>
      </c>
      <c r="D80" s="9">
        <v>392700</v>
      </c>
      <c r="E80" s="9">
        <v>0</v>
      </c>
      <c r="F80" s="9">
        <v>0</v>
      </c>
      <c r="G80" s="9">
        <v>0</v>
      </c>
      <c r="H80" s="9">
        <v>0</v>
      </c>
      <c r="I80" s="9">
        <v>154700</v>
      </c>
      <c r="J80" s="9">
        <v>0</v>
      </c>
      <c r="K80" s="9">
        <v>47600</v>
      </c>
      <c r="L80" s="9">
        <v>0</v>
      </c>
      <c r="M80" s="9">
        <v>0</v>
      </c>
      <c r="N80" s="9">
        <f t="shared" si="3"/>
        <v>737800</v>
      </c>
      <c r="O80" s="9">
        <v>737800</v>
      </c>
      <c r="P80" s="9">
        <f t="shared" si="4"/>
        <v>0</v>
      </c>
    </row>
    <row r="81" spans="1:16" x14ac:dyDescent="0.25">
      <c r="A81" s="2" t="s">
        <v>95</v>
      </c>
      <c r="B81" s="9">
        <v>571484</v>
      </c>
      <c r="C81" s="9">
        <v>571751</v>
      </c>
      <c r="D81" s="9">
        <v>577284</v>
      </c>
      <c r="E81" s="9">
        <v>764329</v>
      </c>
      <c r="F81" s="9">
        <v>768825</v>
      </c>
      <c r="G81" s="9">
        <v>770210</v>
      </c>
      <c r="H81" s="9">
        <v>771127</v>
      </c>
      <c r="I81" s="9">
        <v>769315</v>
      </c>
      <c r="J81" s="9">
        <v>586670</v>
      </c>
      <c r="K81" s="9">
        <v>775592</v>
      </c>
      <c r="L81" s="9">
        <v>778249</v>
      </c>
      <c r="M81" s="9">
        <v>0</v>
      </c>
      <c r="N81" s="9">
        <f t="shared" si="3"/>
        <v>7704836</v>
      </c>
      <c r="O81" s="9">
        <v>1720519</v>
      </c>
      <c r="P81" s="9">
        <f t="shared" si="4"/>
        <v>-5984317</v>
      </c>
    </row>
    <row r="82" spans="1:16" x14ac:dyDescent="0.25">
      <c r="A82" s="2" t="s">
        <v>96</v>
      </c>
      <c r="B82" s="9">
        <v>137227</v>
      </c>
      <c r="C82" s="9">
        <v>136988</v>
      </c>
      <c r="D82" s="9">
        <v>138351</v>
      </c>
      <c r="E82" s="9">
        <v>138887</v>
      </c>
      <c r="F82" s="9">
        <v>139638</v>
      </c>
      <c r="G82" s="9">
        <v>139933</v>
      </c>
      <c r="H82" s="9">
        <v>140202</v>
      </c>
      <c r="I82" s="9">
        <v>139827</v>
      </c>
      <c r="J82" s="9">
        <v>140964</v>
      </c>
      <c r="K82" s="9">
        <v>140964</v>
      </c>
      <c r="L82" s="9">
        <v>141454</v>
      </c>
      <c r="M82" s="9">
        <v>141528</v>
      </c>
      <c r="N82" s="9">
        <f t="shared" si="3"/>
        <v>1675963</v>
      </c>
      <c r="O82" s="9">
        <v>412566</v>
      </c>
      <c r="P82" s="9">
        <f t="shared" si="4"/>
        <v>-1263397</v>
      </c>
    </row>
    <row r="83" spans="1:16" x14ac:dyDescent="0.25">
      <c r="A83" s="2" t="s">
        <v>97</v>
      </c>
      <c r="B83" s="9">
        <v>160098</v>
      </c>
      <c r="C83" s="9">
        <v>159819</v>
      </c>
      <c r="D83" s="9">
        <v>161283</v>
      </c>
      <c r="E83" s="9">
        <v>162057</v>
      </c>
      <c r="F83" s="9">
        <v>162911</v>
      </c>
      <c r="G83" s="9">
        <v>163256</v>
      </c>
      <c r="H83" s="9">
        <v>163569</v>
      </c>
      <c r="I83" s="9">
        <v>163054</v>
      </c>
      <c r="J83" s="9">
        <v>164458</v>
      </c>
      <c r="K83" s="9">
        <v>164458</v>
      </c>
      <c r="L83" s="9">
        <v>165030</v>
      </c>
      <c r="M83" s="9">
        <v>165115</v>
      </c>
      <c r="N83" s="9">
        <f t="shared" si="3"/>
        <v>1955108</v>
      </c>
      <c r="O83" s="9">
        <v>481200</v>
      </c>
      <c r="P83" s="9">
        <f t="shared" si="4"/>
        <v>-1473908</v>
      </c>
    </row>
    <row r="84" spans="1:16" x14ac:dyDescent="0.25">
      <c r="A84" s="2" t="s">
        <v>98</v>
      </c>
      <c r="B84" s="9">
        <v>0</v>
      </c>
      <c r="C84" s="9">
        <v>50000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f t="shared" si="3"/>
        <v>50000</v>
      </c>
      <c r="O84" s="9">
        <v>50000</v>
      </c>
      <c r="P84" s="9">
        <f t="shared" si="4"/>
        <v>0</v>
      </c>
    </row>
    <row r="85" spans="1:16" x14ac:dyDescent="0.25">
      <c r="A85" s="2" t="s">
        <v>99</v>
      </c>
      <c r="B85" s="9">
        <v>274437</v>
      </c>
      <c r="C85" s="9">
        <v>274119</v>
      </c>
      <c r="D85" s="9">
        <v>276702</v>
      </c>
      <c r="E85" s="9">
        <v>277847</v>
      </c>
      <c r="F85" s="9">
        <v>279488</v>
      </c>
      <c r="G85" s="9">
        <v>279994</v>
      </c>
      <c r="H85" s="9">
        <v>280516</v>
      </c>
      <c r="I85" s="9">
        <v>279655</v>
      </c>
      <c r="J85" s="9">
        <v>281928</v>
      </c>
      <c r="K85" s="9">
        <v>155061</v>
      </c>
      <c r="L85" s="9">
        <v>155681</v>
      </c>
      <c r="M85" s="9">
        <v>0</v>
      </c>
      <c r="N85" s="9">
        <f t="shared" si="3"/>
        <v>2815428</v>
      </c>
      <c r="O85" s="9">
        <v>1662487</v>
      </c>
      <c r="P85" s="9">
        <f t="shared" si="4"/>
        <v>-1152941</v>
      </c>
    </row>
    <row r="86" spans="1:16" x14ac:dyDescent="0.25">
      <c r="A86" s="2" t="s">
        <v>100</v>
      </c>
      <c r="B86" s="9">
        <v>265065</v>
      </c>
      <c r="C86" s="9">
        <v>265915</v>
      </c>
      <c r="D86" s="9">
        <v>268067</v>
      </c>
      <c r="E86" s="9">
        <v>269429</v>
      </c>
      <c r="F86" s="9">
        <v>270329</v>
      </c>
      <c r="G86" s="9">
        <v>270805</v>
      </c>
      <c r="H86" s="9">
        <v>270763</v>
      </c>
      <c r="I86" s="9">
        <v>271351</v>
      </c>
      <c r="J86" s="9">
        <v>272530</v>
      </c>
      <c r="K86" s="9">
        <v>272916</v>
      </c>
      <c r="L86" s="9">
        <v>380720</v>
      </c>
      <c r="M86" s="16">
        <v>0</v>
      </c>
      <c r="N86" s="9">
        <f t="shared" si="3"/>
        <v>3077890</v>
      </c>
      <c r="O86" s="9">
        <v>2697170</v>
      </c>
      <c r="P86" s="9">
        <f t="shared" si="4"/>
        <v>-380720</v>
      </c>
    </row>
    <row r="87" spans="1:16" x14ac:dyDescent="0.25">
      <c r="A87" s="2" t="s">
        <v>101</v>
      </c>
      <c r="B87" s="9">
        <v>0</v>
      </c>
      <c r="C87" s="9">
        <v>47600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f t="shared" si="3"/>
        <v>47600</v>
      </c>
      <c r="O87" s="9">
        <v>0</v>
      </c>
      <c r="P87" s="9">
        <f t="shared" si="4"/>
        <v>-47600</v>
      </c>
    </row>
    <row r="88" spans="1:16" x14ac:dyDescent="0.25">
      <c r="A88" s="2" t="s">
        <v>102</v>
      </c>
      <c r="B88" s="9">
        <v>0</v>
      </c>
      <c r="C88" s="9">
        <v>0</v>
      </c>
      <c r="D88" s="9">
        <v>240522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f t="shared" si="3"/>
        <v>240522</v>
      </c>
      <c r="O88" s="9">
        <v>240522</v>
      </c>
      <c r="P88" s="9">
        <f t="shared" si="4"/>
        <v>0</v>
      </c>
    </row>
    <row r="89" spans="1:16" x14ac:dyDescent="0.25">
      <c r="A89" s="2" t="s">
        <v>103</v>
      </c>
      <c r="B89" s="9">
        <v>0</v>
      </c>
      <c r="C89" s="9">
        <v>119390</v>
      </c>
      <c r="D89" s="9">
        <v>0</v>
      </c>
      <c r="E89" s="9">
        <v>120478</v>
      </c>
      <c r="F89" s="9">
        <v>0</v>
      </c>
      <c r="G89" s="9">
        <v>121443</v>
      </c>
      <c r="H89" s="9">
        <v>121486</v>
      </c>
      <c r="I89" s="9">
        <v>0</v>
      </c>
      <c r="J89" s="9">
        <v>122169</v>
      </c>
      <c r="K89" s="9">
        <v>0</v>
      </c>
      <c r="L89" s="9">
        <v>122657</v>
      </c>
      <c r="M89" s="9">
        <v>0</v>
      </c>
      <c r="N89" s="9">
        <f t="shared" si="3"/>
        <v>727623</v>
      </c>
      <c r="O89" s="9">
        <v>113541</v>
      </c>
      <c r="P89" s="9">
        <f t="shared" si="4"/>
        <v>-614082</v>
      </c>
    </row>
    <row r="90" spans="1:16" x14ac:dyDescent="0.25">
      <c r="A90" s="2" t="s">
        <v>104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125000</v>
      </c>
      <c r="I90" s="9">
        <v>51050</v>
      </c>
      <c r="J90" s="9">
        <v>51331</v>
      </c>
      <c r="K90" s="9">
        <v>51358</v>
      </c>
      <c r="L90" s="9">
        <v>0</v>
      </c>
      <c r="M90" s="9">
        <v>0</v>
      </c>
      <c r="N90" s="9">
        <f t="shared" si="3"/>
        <v>278739</v>
      </c>
      <c r="O90" s="9">
        <v>278750</v>
      </c>
      <c r="P90" s="9">
        <f t="shared" si="4"/>
        <v>11</v>
      </c>
    </row>
    <row r="91" spans="1:16" x14ac:dyDescent="0.25">
      <c r="A91" s="2" t="s">
        <v>105</v>
      </c>
      <c r="B91" s="9">
        <v>456834</v>
      </c>
      <c r="C91" s="9">
        <v>459551</v>
      </c>
      <c r="D91" s="9">
        <v>462423</v>
      </c>
      <c r="E91" s="9">
        <v>464380</v>
      </c>
      <c r="F91" s="9">
        <v>466324</v>
      </c>
      <c r="G91" s="9">
        <v>467184</v>
      </c>
      <c r="H91" s="9">
        <v>466592</v>
      </c>
      <c r="I91" s="9">
        <v>468252</v>
      </c>
      <c r="J91" s="9">
        <v>469879</v>
      </c>
      <c r="K91" s="9">
        <v>476000</v>
      </c>
      <c r="L91" s="9">
        <v>470970</v>
      </c>
      <c r="M91" s="9">
        <v>471759</v>
      </c>
      <c r="N91" s="9">
        <f t="shared" si="3"/>
        <v>5600148</v>
      </c>
      <c r="O91" s="9">
        <v>5128389</v>
      </c>
      <c r="P91" s="9">
        <f t="shared" si="4"/>
        <v>-471759</v>
      </c>
    </row>
    <row r="92" spans="1:16" x14ac:dyDescent="0.25">
      <c r="A92" s="2" t="s">
        <v>106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142800</v>
      </c>
      <c r="H92" s="9">
        <v>107100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f t="shared" si="3"/>
        <v>249900</v>
      </c>
      <c r="O92" s="9">
        <v>142800</v>
      </c>
      <c r="P92" s="9">
        <f t="shared" si="4"/>
        <v>-107100</v>
      </c>
    </row>
    <row r="93" spans="1:16" x14ac:dyDescent="0.25">
      <c r="A93" s="2" t="s">
        <v>107</v>
      </c>
      <c r="B93" s="9">
        <v>0</v>
      </c>
      <c r="C93" s="9">
        <v>148750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f t="shared" si="3"/>
        <v>148750</v>
      </c>
      <c r="O93" s="9">
        <v>148750</v>
      </c>
      <c r="P93" s="9">
        <f t="shared" si="4"/>
        <v>0</v>
      </c>
    </row>
    <row r="94" spans="1:16" x14ac:dyDescent="0.25">
      <c r="A94" s="2" t="s">
        <v>108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70000</v>
      </c>
      <c r="K94" s="9">
        <v>90000</v>
      </c>
      <c r="L94" s="9">
        <v>0</v>
      </c>
      <c r="M94" s="9">
        <v>0</v>
      </c>
      <c r="N94" s="9">
        <f t="shared" si="3"/>
        <v>160000</v>
      </c>
      <c r="O94" s="9">
        <v>90000</v>
      </c>
      <c r="P94" s="9">
        <f t="shared" si="4"/>
        <v>-70000</v>
      </c>
    </row>
    <row r="95" spans="1:16" x14ac:dyDescent="0.25">
      <c r="A95" s="2" t="s">
        <v>109</v>
      </c>
      <c r="B95" s="9">
        <v>0</v>
      </c>
      <c r="C95" s="9">
        <v>80000</v>
      </c>
      <c r="D95" s="9">
        <v>80000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f t="shared" si="3"/>
        <v>160000</v>
      </c>
      <c r="O95" s="9">
        <v>0</v>
      </c>
      <c r="P95" s="9">
        <f t="shared" si="4"/>
        <v>-160000</v>
      </c>
    </row>
    <row r="96" spans="1:16" x14ac:dyDescent="0.25">
      <c r="A96" s="2" t="s">
        <v>110</v>
      </c>
      <c r="B96" s="9">
        <v>685295</v>
      </c>
      <c r="C96" s="9">
        <v>689327</v>
      </c>
      <c r="D96" s="9">
        <v>693724</v>
      </c>
      <c r="E96" s="9">
        <v>697496</v>
      </c>
      <c r="F96" s="9">
        <v>699396</v>
      </c>
      <c r="G96" s="9">
        <v>700684</v>
      </c>
      <c r="H96" s="9">
        <v>700069</v>
      </c>
      <c r="I96" s="9">
        <v>700352</v>
      </c>
      <c r="J96" s="9">
        <v>704819</v>
      </c>
      <c r="K96" s="9">
        <v>706000</v>
      </c>
      <c r="L96" s="9">
        <v>707638</v>
      </c>
      <c r="M96" s="9">
        <v>0</v>
      </c>
      <c r="N96" s="9">
        <f t="shared" si="3"/>
        <v>7684800</v>
      </c>
      <c r="O96" s="9">
        <v>6977162</v>
      </c>
      <c r="P96" s="9">
        <f t="shared" si="4"/>
        <v>-707638</v>
      </c>
    </row>
    <row r="97" spans="1:16" x14ac:dyDescent="0.25">
      <c r="A97" s="2" t="s">
        <v>111</v>
      </c>
      <c r="B97" s="9">
        <v>105106</v>
      </c>
      <c r="C97" s="9">
        <v>105490</v>
      </c>
      <c r="D97" s="9">
        <v>106316</v>
      </c>
      <c r="E97" s="9">
        <v>106789</v>
      </c>
      <c r="F97" s="9">
        <v>107206</v>
      </c>
      <c r="G97" s="9">
        <v>107395</v>
      </c>
      <c r="H97" s="9">
        <v>107413</v>
      </c>
      <c r="I97" s="9">
        <v>107387</v>
      </c>
      <c r="J97" s="9">
        <v>108041</v>
      </c>
      <c r="K97" s="9">
        <v>108072</v>
      </c>
      <c r="L97" s="9">
        <v>108504</v>
      </c>
      <c r="M97" s="9">
        <v>0</v>
      </c>
      <c r="N97" s="9">
        <f t="shared" ref="N97:N153" si="5">SUM(B97:M97)</f>
        <v>1177719</v>
      </c>
      <c r="O97" s="9">
        <v>1069215</v>
      </c>
      <c r="P97" s="9">
        <f t="shared" si="4"/>
        <v>-108504</v>
      </c>
    </row>
    <row r="98" spans="1:16" x14ac:dyDescent="0.25">
      <c r="A98" s="2" t="s">
        <v>112</v>
      </c>
      <c r="B98" s="9">
        <v>255910</v>
      </c>
      <c r="C98" s="9">
        <v>256846</v>
      </c>
      <c r="D98" s="9">
        <v>258857</v>
      </c>
      <c r="E98" s="9">
        <v>260009</v>
      </c>
      <c r="F98" s="9">
        <v>209657</v>
      </c>
      <c r="G98" s="9">
        <v>210037</v>
      </c>
      <c r="H98" s="9">
        <v>210347</v>
      </c>
      <c r="I98" s="9">
        <v>209862</v>
      </c>
      <c r="J98" s="9">
        <v>211445</v>
      </c>
      <c r="K98" s="9">
        <v>211473</v>
      </c>
      <c r="L98" s="9">
        <v>212291</v>
      </c>
      <c r="M98" s="9">
        <v>0</v>
      </c>
      <c r="N98" s="9">
        <f t="shared" si="5"/>
        <v>2506734</v>
      </c>
      <c r="O98" s="9">
        <v>1662789</v>
      </c>
      <c r="P98" s="9">
        <f t="shared" si="4"/>
        <v>-843945</v>
      </c>
    </row>
    <row r="99" spans="1:16" x14ac:dyDescent="0.25">
      <c r="A99" s="2" t="s">
        <v>113</v>
      </c>
      <c r="B99" s="9">
        <v>0</v>
      </c>
      <c r="C99" s="9">
        <v>0</v>
      </c>
      <c r="D99" s="9">
        <v>0</v>
      </c>
      <c r="E99" s="9">
        <v>0</v>
      </c>
      <c r="F99" s="9">
        <v>116566</v>
      </c>
      <c r="G99" s="9">
        <v>0</v>
      </c>
      <c r="H99" s="9">
        <v>116663</v>
      </c>
      <c r="I99" s="9">
        <v>0</v>
      </c>
      <c r="J99" s="9">
        <v>117436</v>
      </c>
      <c r="K99" s="9">
        <v>0</v>
      </c>
      <c r="L99" s="9">
        <v>117940</v>
      </c>
      <c r="M99" s="9">
        <v>0</v>
      </c>
      <c r="N99" s="9">
        <f t="shared" si="5"/>
        <v>468605</v>
      </c>
      <c r="O99" s="9">
        <v>350665</v>
      </c>
      <c r="P99" s="9">
        <f t="shared" si="4"/>
        <v>-117940</v>
      </c>
    </row>
    <row r="100" spans="1:16" x14ac:dyDescent="0.25">
      <c r="A100" s="2" t="s">
        <v>114</v>
      </c>
      <c r="B100" s="9">
        <v>91361</v>
      </c>
      <c r="C100" s="9">
        <v>91947</v>
      </c>
      <c r="D100" s="9">
        <v>92520</v>
      </c>
      <c r="E100" s="9">
        <v>92969</v>
      </c>
      <c r="F100" s="9">
        <v>93247</v>
      </c>
      <c r="G100" s="9">
        <v>93425</v>
      </c>
      <c r="H100" s="9">
        <v>93403</v>
      </c>
      <c r="I100" s="9">
        <v>93461</v>
      </c>
      <c r="J100" s="9">
        <v>93975</v>
      </c>
      <c r="K100" s="9">
        <v>94060</v>
      </c>
      <c r="L100" s="9">
        <v>94352</v>
      </c>
      <c r="M100" s="9">
        <v>0</v>
      </c>
      <c r="N100" s="9">
        <f t="shared" si="5"/>
        <v>1024720</v>
      </c>
      <c r="O100" s="9">
        <v>930438</v>
      </c>
      <c r="P100" s="9">
        <f t="shared" si="4"/>
        <v>-94282</v>
      </c>
    </row>
    <row r="101" spans="1:16" x14ac:dyDescent="0.25">
      <c r="A101" s="2" t="s">
        <v>115</v>
      </c>
      <c r="B101" s="9">
        <v>91396</v>
      </c>
      <c r="C101" s="9">
        <v>91731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119000</v>
      </c>
      <c r="L101" s="9">
        <v>0</v>
      </c>
      <c r="M101" s="9">
        <v>0</v>
      </c>
      <c r="N101" s="9">
        <f t="shared" si="5"/>
        <v>302127</v>
      </c>
      <c r="O101" s="9">
        <v>302127</v>
      </c>
      <c r="P101" s="9">
        <f t="shared" si="4"/>
        <v>0</v>
      </c>
    </row>
    <row r="102" spans="1:16" x14ac:dyDescent="0.25">
      <c r="A102" s="2" t="s">
        <v>116</v>
      </c>
      <c r="B102" s="9">
        <v>77762</v>
      </c>
      <c r="C102" s="9">
        <v>96469</v>
      </c>
      <c r="D102" s="9">
        <v>161702</v>
      </c>
      <c r="E102" s="9">
        <v>60309</v>
      </c>
      <c r="F102" s="9">
        <v>79260</v>
      </c>
      <c r="G102" s="9">
        <v>60734</v>
      </c>
      <c r="H102" s="9">
        <v>79474</v>
      </c>
      <c r="I102" s="9">
        <v>60609</v>
      </c>
      <c r="J102" s="9">
        <v>79718</v>
      </c>
      <c r="K102" s="9">
        <v>61116</v>
      </c>
      <c r="L102" s="9">
        <v>80199</v>
      </c>
      <c r="M102" s="9">
        <v>99069</v>
      </c>
      <c r="N102" s="9">
        <f t="shared" si="5"/>
        <v>996421</v>
      </c>
      <c r="O102" s="9">
        <v>817153</v>
      </c>
      <c r="P102" s="9">
        <f t="shared" si="4"/>
        <v>-179268</v>
      </c>
    </row>
    <row r="103" spans="1:16" x14ac:dyDescent="0.25">
      <c r="A103" s="2" t="s">
        <v>117</v>
      </c>
      <c r="B103" s="9">
        <v>0</v>
      </c>
      <c r="C103" s="9">
        <v>183892</v>
      </c>
      <c r="D103" s="9">
        <v>0</v>
      </c>
      <c r="E103" s="9">
        <v>78853</v>
      </c>
      <c r="F103" s="9">
        <v>0</v>
      </c>
      <c r="G103" s="9">
        <v>79291</v>
      </c>
      <c r="H103" s="9">
        <v>0</v>
      </c>
      <c r="I103" s="9">
        <v>79556</v>
      </c>
      <c r="J103" s="9">
        <v>0</v>
      </c>
      <c r="K103" s="9">
        <v>80075</v>
      </c>
      <c r="L103" s="9">
        <v>0</v>
      </c>
      <c r="M103" s="9">
        <v>0</v>
      </c>
      <c r="N103" s="9">
        <f t="shared" si="5"/>
        <v>501667</v>
      </c>
      <c r="O103" s="9">
        <v>421592</v>
      </c>
      <c r="P103" s="9">
        <f t="shared" si="4"/>
        <v>-80075</v>
      </c>
    </row>
    <row r="104" spans="1:16" x14ac:dyDescent="0.25">
      <c r="A104" s="2" t="s">
        <v>118</v>
      </c>
      <c r="B104" s="9">
        <v>0</v>
      </c>
      <c r="C104" s="9">
        <v>0</v>
      </c>
      <c r="D104" s="9">
        <v>0</v>
      </c>
      <c r="E104" s="9">
        <v>208358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211582</v>
      </c>
      <c r="L104" s="9">
        <v>0</v>
      </c>
      <c r="M104" s="9">
        <v>0</v>
      </c>
      <c r="N104" s="9">
        <f t="shared" si="5"/>
        <v>419940</v>
      </c>
      <c r="O104" s="9">
        <v>419940</v>
      </c>
      <c r="P104" s="9">
        <f t="shared" si="4"/>
        <v>0</v>
      </c>
    </row>
    <row r="105" spans="1:16" x14ac:dyDescent="0.25">
      <c r="A105" s="2" t="s">
        <v>119</v>
      </c>
      <c r="B105" s="9">
        <v>0</v>
      </c>
      <c r="C105" s="9">
        <v>445591</v>
      </c>
      <c r="D105" s="9">
        <v>0</v>
      </c>
      <c r="E105" s="9">
        <v>232614</v>
      </c>
      <c r="F105" s="9">
        <v>0</v>
      </c>
      <c r="G105" s="9">
        <v>0</v>
      </c>
      <c r="H105" s="9">
        <v>233386</v>
      </c>
      <c r="I105" s="9">
        <v>0</v>
      </c>
      <c r="J105" s="9">
        <v>234939</v>
      </c>
      <c r="K105" s="9">
        <v>0</v>
      </c>
      <c r="L105" s="9">
        <v>235879</v>
      </c>
      <c r="M105" s="9">
        <v>0</v>
      </c>
      <c r="N105" s="9">
        <f t="shared" si="5"/>
        <v>1382409</v>
      </c>
      <c r="O105" s="9">
        <v>1146530</v>
      </c>
      <c r="P105" s="9">
        <f t="shared" si="4"/>
        <v>-235879</v>
      </c>
    </row>
    <row r="106" spans="1:16" x14ac:dyDescent="0.25">
      <c r="A106" s="2" t="s">
        <v>120</v>
      </c>
      <c r="B106" s="9">
        <v>654500</v>
      </c>
      <c r="C106" s="9">
        <v>379610</v>
      </c>
      <c r="D106" s="9">
        <v>699720</v>
      </c>
      <c r="E106" s="9">
        <v>0</v>
      </c>
      <c r="F106" s="9">
        <v>205870</v>
      </c>
      <c r="G106" s="9">
        <v>411740</v>
      </c>
      <c r="H106" s="9">
        <v>66640</v>
      </c>
      <c r="I106" s="9">
        <v>268940</v>
      </c>
      <c r="J106" s="9">
        <v>66640</v>
      </c>
      <c r="K106" s="9">
        <v>257040</v>
      </c>
      <c r="L106" s="9">
        <v>0</v>
      </c>
      <c r="M106" s="9">
        <v>0</v>
      </c>
      <c r="N106" s="9">
        <f t="shared" si="5"/>
        <v>3010700</v>
      </c>
      <c r="O106" s="9">
        <v>2508520</v>
      </c>
      <c r="P106" s="9">
        <f t="shared" si="4"/>
        <v>-502180</v>
      </c>
    </row>
    <row r="107" spans="1:16" x14ac:dyDescent="0.25">
      <c r="A107" s="2" t="s">
        <v>121</v>
      </c>
      <c r="B107" s="9">
        <v>0</v>
      </c>
      <c r="C107" s="9">
        <v>0</v>
      </c>
      <c r="D107" s="9">
        <v>0</v>
      </c>
      <c r="E107" s="9">
        <v>178500</v>
      </c>
      <c r="F107" s="9">
        <v>205870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f t="shared" si="5"/>
        <v>384370</v>
      </c>
      <c r="O107" s="9">
        <v>384370</v>
      </c>
      <c r="P107" s="9">
        <f t="shared" si="4"/>
        <v>0</v>
      </c>
    </row>
    <row r="108" spans="1:16" x14ac:dyDescent="0.25">
      <c r="A108" s="2" t="s">
        <v>122</v>
      </c>
      <c r="B108" s="9">
        <v>0</v>
      </c>
      <c r="C108" s="9">
        <v>0</v>
      </c>
      <c r="D108" s="9">
        <v>190205</v>
      </c>
      <c r="E108" s="9">
        <v>0</v>
      </c>
      <c r="F108" s="9">
        <v>0</v>
      </c>
      <c r="G108" s="9">
        <v>0</v>
      </c>
      <c r="H108" s="9">
        <v>0</v>
      </c>
      <c r="I108" s="9">
        <v>191928</v>
      </c>
      <c r="J108" s="9">
        <v>0</v>
      </c>
      <c r="K108" s="9">
        <v>0</v>
      </c>
      <c r="L108" s="9">
        <v>0</v>
      </c>
      <c r="M108" s="9">
        <v>0</v>
      </c>
      <c r="N108" s="9">
        <f t="shared" si="5"/>
        <v>382133</v>
      </c>
      <c r="O108" s="9">
        <v>382133</v>
      </c>
      <c r="P108" s="9">
        <f t="shared" si="4"/>
        <v>0</v>
      </c>
    </row>
    <row r="109" spans="1:16" x14ac:dyDescent="0.25">
      <c r="A109" s="2" t="s">
        <v>123</v>
      </c>
      <c r="B109" s="9">
        <v>0</v>
      </c>
      <c r="C109" s="9">
        <v>0</v>
      </c>
      <c r="D109" s="9">
        <v>0</v>
      </c>
      <c r="E109" s="9">
        <v>134536</v>
      </c>
      <c r="F109" s="9">
        <v>0</v>
      </c>
      <c r="G109" s="9">
        <v>0</v>
      </c>
      <c r="H109" s="9">
        <v>0</v>
      </c>
      <c r="I109" s="9">
        <v>135754</v>
      </c>
      <c r="J109" s="9">
        <v>0</v>
      </c>
      <c r="K109" s="9">
        <v>0</v>
      </c>
      <c r="L109" s="9">
        <v>0</v>
      </c>
      <c r="M109" s="9">
        <v>0</v>
      </c>
      <c r="N109" s="9">
        <f t="shared" si="5"/>
        <v>270290</v>
      </c>
      <c r="O109" s="9">
        <v>270290</v>
      </c>
      <c r="P109" s="9">
        <f t="shared" si="4"/>
        <v>0</v>
      </c>
    </row>
    <row r="110" spans="1:16" x14ac:dyDescent="0.25">
      <c r="A110" s="2" t="s">
        <v>124</v>
      </c>
      <c r="B110" s="9">
        <v>47704</v>
      </c>
      <c r="C110" s="9">
        <v>45704</v>
      </c>
      <c r="D110" s="9">
        <v>46183</v>
      </c>
      <c r="E110" s="9">
        <v>46353</v>
      </c>
      <c r="F110" s="9">
        <v>46587</v>
      </c>
      <c r="G110" s="9">
        <v>46668</v>
      </c>
      <c r="H110" s="9">
        <v>46756</v>
      </c>
      <c r="I110" s="9">
        <v>46623</v>
      </c>
      <c r="J110" s="9">
        <v>46906</v>
      </c>
      <c r="K110" s="9">
        <v>46988</v>
      </c>
      <c r="L110" s="9">
        <v>45719</v>
      </c>
      <c r="M110" s="9">
        <v>0</v>
      </c>
      <c r="N110" s="9">
        <f t="shared" si="5"/>
        <v>512191</v>
      </c>
      <c r="O110" s="9">
        <v>511662</v>
      </c>
      <c r="P110" s="9">
        <f t="shared" si="4"/>
        <v>-529</v>
      </c>
    </row>
    <row r="111" spans="1:16" x14ac:dyDescent="0.25">
      <c r="A111" s="2" t="s">
        <v>125</v>
      </c>
      <c r="B111" s="9">
        <v>0</v>
      </c>
      <c r="C111" s="9">
        <v>0</v>
      </c>
      <c r="D111" s="9">
        <v>0</v>
      </c>
      <c r="E111" s="9">
        <v>120498</v>
      </c>
      <c r="F111" s="9">
        <v>0</v>
      </c>
      <c r="G111" s="9">
        <v>0</v>
      </c>
      <c r="H111" s="9">
        <v>121487</v>
      </c>
      <c r="I111" s="9">
        <v>0</v>
      </c>
      <c r="J111" s="9">
        <v>0</v>
      </c>
      <c r="K111" s="9">
        <v>122263</v>
      </c>
      <c r="L111" s="9">
        <v>0</v>
      </c>
      <c r="M111" s="9">
        <v>0</v>
      </c>
      <c r="N111" s="17">
        <f t="shared" si="5"/>
        <v>364248</v>
      </c>
      <c r="O111" s="9">
        <v>364848</v>
      </c>
      <c r="P111" s="9">
        <f t="shared" si="4"/>
        <v>600</v>
      </c>
    </row>
    <row r="112" spans="1:16" x14ac:dyDescent="0.25">
      <c r="A112" s="2" t="s">
        <v>126</v>
      </c>
      <c r="B112" s="9">
        <v>114319</v>
      </c>
      <c r="C112" s="9">
        <v>0</v>
      </c>
      <c r="D112" s="9">
        <v>115517</v>
      </c>
      <c r="E112" s="9">
        <v>0</v>
      </c>
      <c r="F112" s="9">
        <v>116566</v>
      </c>
      <c r="G112" s="9">
        <v>0</v>
      </c>
      <c r="H112" s="9">
        <v>116663</v>
      </c>
      <c r="I112" s="9">
        <v>0</v>
      </c>
      <c r="J112" s="9">
        <v>117470</v>
      </c>
      <c r="K112" s="9">
        <v>0</v>
      </c>
      <c r="L112" s="9">
        <v>117940</v>
      </c>
      <c r="M112" s="9">
        <v>0</v>
      </c>
      <c r="N112" s="17">
        <f t="shared" si="5"/>
        <v>698475</v>
      </c>
      <c r="O112" s="9">
        <v>229836</v>
      </c>
      <c r="P112" s="9">
        <f t="shared" si="4"/>
        <v>-468639</v>
      </c>
    </row>
    <row r="113" spans="1:16" x14ac:dyDescent="0.25">
      <c r="A113" s="2" t="s">
        <v>127</v>
      </c>
      <c r="B113" s="9">
        <v>0</v>
      </c>
      <c r="C113" s="9">
        <v>0</v>
      </c>
      <c r="D113" s="9">
        <v>0</v>
      </c>
      <c r="E113" s="9">
        <v>263181</v>
      </c>
      <c r="F113" s="9">
        <v>163109</v>
      </c>
      <c r="G113" s="9">
        <v>163406</v>
      </c>
      <c r="H113" s="9">
        <v>163518</v>
      </c>
      <c r="I113" s="9">
        <v>163510</v>
      </c>
      <c r="J113" s="9">
        <v>164458</v>
      </c>
      <c r="K113" s="9">
        <v>164606</v>
      </c>
      <c r="L113" s="9">
        <v>165115</v>
      </c>
      <c r="M113" s="9">
        <v>0</v>
      </c>
      <c r="N113" s="17">
        <f t="shared" si="5"/>
        <v>1410903</v>
      </c>
      <c r="O113" s="9">
        <v>753206</v>
      </c>
      <c r="P113" s="9">
        <f t="shared" si="4"/>
        <v>-657697</v>
      </c>
    </row>
    <row r="114" spans="1:16" x14ac:dyDescent="0.25">
      <c r="A114" s="2" t="s">
        <v>128</v>
      </c>
      <c r="B114" s="9">
        <v>91419</v>
      </c>
      <c r="C114" s="9">
        <v>0</v>
      </c>
      <c r="D114" s="9">
        <v>0</v>
      </c>
      <c r="E114" s="9">
        <v>92984</v>
      </c>
      <c r="F114" s="9">
        <v>93204</v>
      </c>
      <c r="G114" s="9">
        <v>93375</v>
      </c>
      <c r="H114" s="9">
        <v>93439</v>
      </c>
      <c r="I114" s="9">
        <v>93434</v>
      </c>
      <c r="J114" s="9">
        <v>93975</v>
      </c>
      <c r="K114" s="9">
        <v>94060</v>
      </c>
      <c r="L114" s="9">
        <v>94352</v>
      </c>
      <c r="M114" s="9">
        <v>0</v>
      </c>
      <c r="N114" s="17">
        <f t="shared" si="5"/>
        <v>840242</v>
      </c>
      <c r="O114" s="9">
        <v>464416</v>
      </c>
      <c r="P114" s="9">
        <f t="shared" si="4"/>
        <v>-375826</v>
      </c>
    </row>
    <row r="115" spans="1:16" x14ac:dyDescent="0.25">
      <c r="A115" s="2" t="s">
        <v>129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70000</v>
      </c>
      <c r="J115" s="9">
        <v>70000</v>
      </c>
      <c r="K115" s="9">
        <v>70000</v>
      </c>
      <c r="L115" s="9">
        <v>0</v>
      </c>
      <c r="M115" s="9">
        <v>0</v>
      </c>
      <c r="N115" s="17">
        <f t="shared" si="5"/>
        <v>210000</v>
      </c>
      <c r="O115" s="9">
        <v>70000</v>
      </c>
      <c r="P115" s="9">
        <f t="shared" si="4"/>
        <v>-140000</v>
      </c>
    </row>
    <row r="116" spans="1:16" x14ac:dyDescent="0.25">
      <c r="A116" s="2" t="s">
        <v>130</v>
      </c>
      <c r="B116" s="9">
        <v>82267</v>
      </c>
      <c r="C116" s="9">
        <v>82236</v>
      </c>
      <c r="D116" s="9">
        <v>83171</v>
      </c>
      <c r="E116" s="9">
        <v>83421</v>
      </c>
      <c r="F116" s="9">
        <v>83878</v>
      </c>
      <c r="G116" s="9">
        <v>84015</v>
      </c>
      <c r="H116" s="9">
        <v>84160</v>
      </c>
      <c r="I116" s="9">
        <v>83921</v>
      </c>
      <c r="J116" s="9">
        <v>84554</v>
      </c>
      <c r="K116" s="9">
        <v>84578</v>
      </c>
      <c r="L116" s="9">
        <v>84884</v>
      </c>
      <c r="M116" s="9">
        <v>0</v>
      </c>
      <c r="N116" s="17">
        <f t="shared" si="5"/>
        <v>921085</v>
      </c>
      <c r="O116" s="9">
        <v>414973</v>
      </c>
      <c r="P116" s="9">
        <f t="shared" si="4"/>
        <v>-506112</v>
      </c>
    </row>
    <row r="117" spans="1:16" x14ac:dyDescent="0.25">
      <c r="A117" s="2" t="s">
        <v>131</v>
      </c>
      <c r="B117" s="9">
        <v>60000</v>
      </c>
      <c r="C117" s="9">
        <v>140000</v>
      </c>
      <c r="D117" s="9">
        <v>0</v>
      </c>
      <c r="E117" s="9">
        <v>0</v>
      </c>
      <c r="F117" s="9">
        <v>80000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17">
        <f t="shared" si="5"/>
        <v>280000</v>
      </c>
      <c r="O117" s="9">
        <v>0</v>
      </c>
      <c r="P117" s="9">
        <f t="shared" si="4"/>
        <v>-280000</v>
      </c>
    </row>
    <row r="118" spans="1:16" x14ac:dyDescent="0.25">
      <c r="A118" s="2" t="s">
        <v>132</v>
      </c>
      <c r="B118" s="9">
        <v>50000</v>
      </c>
      <c r="C118" s="9">
        <v>0</v>
      </c>
      <c r="D118" s="9">
        <v>50000</v>
      </c>
      <c r="E118" s="9">
        <v>0</v>
      </c>
      <c r="F118" s="9">
        <v>50000</v>
      </c>
      <c r="G118" s="9">
        <v>0</v>
      </c>
      <c r="H118" s="9">
        <v>50000</v>
      </c>
      <c r="I118" s="9">
        <v>0</v>
      </c>
      <c r="J118" s="9">
        <v>50000</v>
      </c>
      <c r="K118" s="9">
        <v>0</v>
      </c>
      <c r="L118" s="9">
        <v>50000</v>
      </c>
      <c r="M118" s="9">
        <v>0</v>
      </c>
      <c r="N118" s="17">
        <f t="shared" si="5"/>
        <v>300000</v>
      </c>
      <c r="O118" s="9">
        <v>100000</v>
      </c>
      <c r="P118" s="9">
        <f t="shared" si="4"/>
        <v>-200000</v>
      </c>
    </row>
    <row r="119" spans="1:16" x14ac:dyDescent="0.25">
      <c r="A119" s="2" t="s">
        <v>133</v>
      </c>
      <c r="B119" s="9">
        <v>146366</v>
      </c>
      <c r="C119" s="9">
        <v>0</v>
      </c>
      <c r="D119" s="9">
        <v>154700</v>
      </c>
      <c r="E119" s="9">
        <v>0</v>
      </c>
      <c r="F119" s="9">
        <v>0</v>
      </c>
      <c r="G119" s="9">
        <v>149499</v>
      </c>
      <c r="H119" s="9">
        <v>0</v>
      </c>
      <c r="I119" s="9">
        <v>0</v>
      </c>
      <c r="J119" s="9">
        <v>0</v>
      </c>
      <c r="K119" s="9">
        <v>0</v>
      </c>
      <c r="L119" s="9">
        <v>154700</v>
      </c>
      <c r="M119" s="9">
        <v>0</v>
      </c>
      <c r="N119" s="17">
        <f t="shared" si="5"/>
        <v>605265</v>
      </c>
      <c r="O119" s="9">
        <v>605265</v>
      </c>
      <c r="P119" s="9">
        <f t="shared" si="4"/>
        <v>0</v>
      </c>
    </row>
    <row r="120" spans="1:16" x14ac:dyDescent="0.25">
      <c r="A120" s="2" t="s">
        <v>134</v>
      </c>
      <c r="B120" s="9">
        <v>73183</v>
      </c>
      <c r="C120" s="9">
        <v>73065</v>
      </c>
      <c r="D120" s="9">
        <v>73700</v>
      </c>
      <c r="E120" s="9">
        <v>74063</v>
      </c>
      <c r="F120" s="9">
        <v>74462</v>
      </c>
      <c r="G120" s="9">
        <v>74631</v>
      </c>
      <c r="H120" s="9">
        <v>74775</v>
      </c>
      <c r="I120" s="9">
        <v>74587</v>
      </c>
      <c r="J120" s="9">
        <v>75007</v>
      </c>
      <c r="K120" s="9">
        <v>75181</v>
      </c>
      <c r="L120" s="9">
        <v>75442</v>
      </c>
      <c r="M120" s="9">
        <v>0</v>
      </c>
      <c r="N120" s="17">
        <f t="shared" si="5"/>
        <v>818096</v>
      </c>
      <c r="O120" s="9">
        <v>242300</v>
      </c>
      <c r="P120" s="9">
        <f t="shared" si="4"/>
        <v>-575796</v>
      </c>
    </row>
    <row r="121" spans="1:16" x14ac:dyDescent="0.25">
      <c r="A121" s="2" t="s">
        <v>135</v>
      </c>
      <c r="B121" s="9">
        <v>127905</v>
      </c>
      <c r="C121" s="9">
        <v>128725</v>
      </c>
      <c r="D121" s="9">
        <v>129528</v>
      </c>
      <c r="E121" s="9">
        <v>130069</v>
      </c>
      <c r="F121" s="9">
        <v>130512</v>
      </c>
      <c r="G121" s="9">
        <v>130742</v>
      </c>
      <c r="H121" s="9">
        <v>130917</v>
      </c>
      <c r="I121" s="9">
        <v>130845</v>
      </c>
      <c r="J121" s="9">
        <v>131566</v>
      </c>
      <c r="K121" s="9">
        <v>131684</v>
      </c>
      <c r="L121" s="9">
        <v>132092</v>
      </c>
      <c r="M121" s="9">
        <v>0</v>
      </c>
      <c r="N121" s="17">
        <f t="shared" si="5"/>
        <v>1434585</v>
      </c>
      <c r="O121" s="9">
        <v>780905</v>
      </c>
      <c r="P121" s="9">
        <f t="shared" si="4"/>
        <v>-653680</v>
      </c>
    </row>
    <row r="122" spans="1:16" x14ac:dyDescent="0.25">
      <c r="A122" s="2" t="s">
        <v>136</v>
      </c>
      <c r="B122" s="9">
        <v>0</v>
      </c>
      <c r="C122" s="9">
        <v>226100</v>
      </c>
      <c r="D122" s="9">
        <v>90000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130000</v>
      </c>
      <c r="M122" s="9">
        <v>0</v>
      </c>
      <c r="N122" s="17">
        <f t="shared" si="5"/>
        <v>446100</v>
      </c>
      <c r="O122" s="9">
        <v>356100</v>
      </c>
      <c r="P122" s="9">
        <f t="shared" si="4"/>
        <v>-90000</v>
      </c>
    </row>
    <row r="123" spans="1:16" x14ac:dyDescent="0.25">
      <c r="A123" s="2" t="s">
        <v>137</v>
      </c>
      <c r="B123" s="9">
        <v>265187</v>
      </c>
      <c r="C123" s="9">
        <v>265708</v>
      </c>
      <c r="D123" s="9">
        <v>267826</v>
      </c>
      <c r="E123" s="9">
        <v>268983</v>
      </c>
      <c r="F123" s="9">
        <v>270188</v>
      </c>
      <c r="G123" s="9">
        <v>270591</v>
      </c>
      <c r="H123" s="9">
        <v>271075</v>
      </c>
      <c r="I123" s="9">
        <v>270204</v>
      </c>
      <c r="J123" s="9">
        <v>271979</v>
      </c>
      <c r="K123" s="9">
        <v>272530</v>
      </c>
      <c r="L123" s="9">
        <v>273549</v>
      </c>
      <c r="M123" s="9">
        <v>0</v>
      </c>
      <c r="N123" s="17">
        <f t="shared" si="5"/>
        <v>2967820</v>
      </c>
      <c r="O123" s="9">
        <v>2694271</v>
      </c>
      <c r="P123" s="9">
        <f t="shared" si="4"/>
        <v>-273549</v>
      </c>
    </row>
    <row r="124" spans="1:16" x14ac:dyDescent="0.25">
      <c r="A124" s="2" t="s">
        <v>138</v>
      </c>
      <c r="B124" s="9">
        <v>118876</v>
      </c>
      <c r="C124" s="9">
        <v>119111</v>
      </c>
      <c r="D124" s="9">
        <v>120059</v>
      </c>
      <c r="E124" s="9">
        <v>120578</v>
      </c>
      <c r="F124" s="9">
        <v>121119</v>
      </c>
      <c r="G124" s="9">
        <v>191358</v>
      </c>
      <c r="H124" s="9">
        <v>191303</v>
      </c>
      <c r="I124" s="9">
        <v>191872</v>
      </c>
      <c r="J124" s="9">
        <v>192650</v>
      </c>
      <c r="K124" s="9">
        <v>193023</v>
      </c>
      <c r="L124" s="9">
        <v>122657</v>
      </c>
      <c r="M124" s="9">
        <v>0</v>
      </c>
      <c r="N124" s="17">
        <f t="shared" si="5"/>
        <v>1682606</v>
      </c>
      <c r="O124" s="9">
        <v>1438830</v>
      </c>
      <c r="P124" s="9">
        <f t="shared" si="4"/>
        <v>-243776</v>
      </c>
    </row>
    <row r="125" spans="1:16" x14ac:dyDescent="0.25">
      <c r="A125" s="2" t="s">
        <v>139</v>
      </c>
      <c r="B125" s="9">
        <v>0</v>
      </c>
      <c r="C125" s="9">
        <v>178500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17">
        <f t="shared" si="5"/>
        <v>178500</v>
      </c>
      <c r="O125" s="9">
        <v>0</v>
      </c>
      <c r="P125" s="9">
        <f t="shared" si="4"/>
        <v>-178500</v>
      </c>
    </row>
    <row r="126" spans="1:16" x14ac:dyDescent="0.25">
      <c r="A126" s="2" t="s">
        <v>140</v>
      </c>
      <c r="B126" s="9">
        <v>109654</v>
      </c>
      <c r="C126" s="9">
        <v>110378</v>
      </c>
      <c r="D126" s="9">
        <v>111082</v>
      </c>
      <c r="E126" s="9">
        <v>111563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17">
        <f t="shared" si="5"/>
        <v>442677</v>
      </c>
      <c r="O126" s="9">
        <v>442677</v>
      </c>
      <c r="P126" s="9">
        <f t="shared" si="4"/>
        <v>0</v>
      </c>
    </row>
    <row r="127" spans="1:16" x14ac:dyDescent="0.25">
      <c r="A127" s="2" t="s">
        <v>141</v>
      </c>
      <c r="B127" s="9">
        <v>65450</v>
      </c>
      <c r="C127" s="9">
        <v>65450</v>
      </c>
      <c r="D127" s="9">
        <v>65450</v>
      </c>
      <c r="E127" s="9">
        <v>65450</v>
      </c>
      <c r="F127" s="9">
        <v>65450</v>
      </c>
      <c r="G127" s="9">
        <v>65450</v>
      </c>
      <c r="H127" s="9">
        <v>65450</v>
      </c>
      <c r="I127" s="9">
        <v>65450</v>
      </c>
      <c r="J127" s="9">
        <v>65450</v>
      </c>
      <c r="K127" s="9">
        <v>65450</v>
      </c>
      <c r="L127" s="9">
        <v>65450</v>
      </c>
      <c r="M127" s="9">
        <v>0</v>
      </c>
      <c r="N127" s="17">
        <f t="shared" si="5"/>
        <v>719950</v>
      </c>
      <c r="O127" s="9">
        <v>589050</v>
      </c>
      <c r="P127" s="9">
        <f t="shared" si="4"/>
        <v>-130900</v>
      </c>
    </row>
    <row r="128" spans="1:16" x14ac:dyDescent="0.25">
      <c r="A128" s="2" t="s">
        <v>142</v>
      </c>
      <c r="B128" s="9">
        <v>50291</v>
      </c>
      <c r="C128" s="9">
        <v>50275</v>
      </c>
      <c r="D128" s="9">
        <v>50801</v>
      </c>
      <c r="E128" s="9">
        <v>50988</v>
      </c>
      <c r="F128" s="9">
        <v>51246</v>
      </c>
      <c r="G128" s="9">
        <v>51335</v>
      </c>
      <c r="H128" s="9">
        <v>51432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17">
        <f t="shared" si="5"/>
        <v>356368</v>
      </c>
      <c r="O128" s="9">
        <v>304936</v>
      </c>
      <c r="P128" s="9">
        <f t="shared" si="4"/>
        <v>-51432</v>
      </c>
    </row>
    <row r="129" spans="1:16" x14ac:dyDescent="0.25">
      <c r="A129" s="2" t="s">
        <v>143</v>
      </c>
      <c r="B129" s="9">
        <v>0</v>
      </c>
      <c r="C129" s="9">
        <v>0</v>
      </c>
      <c r="D129" s="9">
        <v>346236</v>
      </c>
      <c r="E129" s="9">
        <v>347532</v>
      </c>
      <c r="F129" s="9">
        <v>349360</v>
      </c>
      <c r="G129" s="9">
        <v>349992</v>
      </c>
      <c r="H129" s="9">
        <v>350645</v>
      </c>
      <c r="I129" s="9">
        <v>349568</v>
      </c>
      <c r="J129" s="9">
        <v>352308</v>
      </c>
      <c r="K129" s="9">
        <v>352409</v>
      </c>
      <c r="L129" s="9">
        <v>565886</v>
      </c>
      <c r="M129" s="9">
        <v>400995</v>
      </c>
      <c r="N129" s="17">
        <f t="shared" si="5"/>
        <v>3764931</v>
      </c>
      <c r="O129" s="9">
        <v>3151642</v>
      </c>
      <c r="P129" s="9">
        <f t="shared" si="4"/>
        <v>-613289</v>
      </c>
    </row>
    <row r="130" spans="1:16" x14ac:dyDescent="0.25">
      <c r="A130" s="2" t="s">
        <v>144</v>
      </c>
      <c r="B130" s="9">
        <v>113903</v>
      </c>
      <c r="C130" s="9">
        <v>113541</v>
      </c>
      <c r="D130" s="9">
        <v>114171</v>
      </c>
      <c r="E130" s="9">
        <v>412311</v>
      </c>
      <c r="F130" s="9">
        <v>115335</v>
      </c>
      <c r="G130" s="9">
        <v>115892</v>
      </c>
      <c r="H130" s="9">
        <v>116258</v>
      </c>
      <c r="I130" s="9">
        <v>116239</v>
      </c>
      <c r="J130" s="9">
        <v>116865</v>
      </c>
      <c r="K130" s="9">
        <v>117377</v>
      </c>
      <c r="L130" s="9">
        <v>117498</v>
      </c>
      <c r="M130" s="9">
        <v>118417</v>
      </c>
      <c r="N130" s="17">
        <f t="shared" si="5"/>
        <v>1687807</v>
      </c>
      <c r="O130" s="9">
        <v>1218257</v>
      </c>
      <c r="P130" s="9">
        <f t="shared" si="4"/>
        <v>-469550</v>
      </c>
    </row>
    <row r="131" spans="1:16" x14ac:dyDescent="0.25">
      <c r="A131" s="2" t="s">
        <v>145</v>
      </c>
      <c r="B131" s="9">
        <v>0</v>
      </c>
      <c r="C131" s="9">
        <v>0</v>
      </c>
      <c r="D131" s="9">
        <v>0</v>
      </c>
      <c r="E131" s="9">
        <v>162371</v>
      </c>
      <c r="F131" s="9">
        <v>0</v>
      </c>
      <c r="G131" s="9">
        <v>0</v>
      </c>
      <c r="H131" s="9">
        <v>0</v>
      </c>
      <c r="I131" s="9">
        <v>163840</v>
      </c>
      <c r="J131" s="9">
        <v>0</v>
      </c>
      <c r="K131" s="9">
        <v>0</v>
      </c>
      <c r="L131" s="9">
        <v>0</v>
      </c>
      <c r="M131" s="9">
        <v>0</v>
      </c>
      <c r="N131" s="17">
        <f t="shared" si="5"/>
        <v>326211</v>
      </c>
      <c r="O131" s="9">
        <v>0</v>
      </c>
      <c r="P131" s="9">
        <f t="shared" ref="P131:P153" si="6">+O131-N131</f>
        <v>-326211</v>
      </c>
    </row>
    <row r="132" spans="1:16" x14ac:dyDescent="0.25">
      <c r="A132" s="2" t="s">
        <v>146</v>
      </c>
      <c r="B132" s="9">
        <v>137103</v>
      </c>
      <c r="C132" s="9">
        <v>137543</v>
      </c>
      <c r="D132" s="9">
        <v>202300</v>
      </c>
      <c r="E132" s="9">
        <v>138655</v>
      </c>
      <c r="F132" s="9">
        <v>139360</v>
      </c>
      <c r="G132" s="9">
        <v>139825</v>
      </c>
      <c r="H132" s="9">
        <v>140071</v>
      </c>
      <c r="I132" s="9">
        <v>140050</v>
      </c>
      <c r="J132" s="9">
        <v>140353</v>
      </c>
      <c r="K132" s="9">
        <v>140964</v>
      </c>
      <c r="L132" s="9">
        <v>141164</v>
      </c>
      <c r="M132" s="9">
        <v>141528</v>
      </c>
      <c r="N132" s="17">
        <f t="shared" si="5"/>
        <v>1738916</v>
      </c>
      <c r="O132" s="9">
        <v>1597388</v>
      </c>
      <c r="P132" s="9">
        <f t="shared" si="6"/>
        <v>-141528</v>
      </c>
    </row>
    <row r="133" spans="1:16" x14ac:dyDescent="0.25">
      <c r="A133" s="2" t="s">
        <v>147</v>
      </c>
      <c r="B133" s="9">
        <v>100587</v>
      </c>
      <c r="C133" s="9">
        <v>100825</v>
      </c>
      <c r="D133" s="9">
        <v>101589</v>
      </c>
      <c r="E133" s="9">
        <v>101959</v>
      </c>
      <c r="F133" s="9">
        <v>102492</v>
      </c>
      <c r="G133" s="9">
        <v>102685</v>
      </c>
      <c r="H133" s="9">
        <v>102836</v>
      </c>
      <c r="I133" s="9">
        <v>102808</v>
      </c>
      <c r="J133" s="9">
        <v>103373</v>
      </c>
      <c r="K133" s="9">
        <v>103440</v>
      </c>
      <c r="L133" s="9">
        <v>103787</v>
      </c>
      <c r="M133" s="9">
        <v>0</v>
      </c>
      <c r="N133" s="17">
        <f t="shared" si="5"/>
        <v>1126381</v>
      </c>
      <c r="O133" s="9">
        <v>919154</v>
      </c>
      <c r="P133" s="9">
        <f t="shared" si="6"/>
        <v>-207227</v>
      </c>
    </row>
    <row r="134" spans="1:16" x14ac:dyDescent="0.25">
      <c r="A134" s="2" t="s">
        <v>148</v>
      </c>
      <c r="B134" s="9">
        <v>196350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17">
        <f t="shared" si="5"/>
        <v>196350</v>
      </c>
      <c r="O134" s="9">
        <v>0</v>
      </c>
      <c r="P134" s="9">
        <f t="shared" si="6"/>
        <v>-196350</v>
      </c>
    </row>
    <row r="135" spans="1:16" x14ac:dyDescent="0.25">
      <c r="A135" s="2" t="s">
        <v>149</v>
      </c>
      <c r="B135" s="9">
        <v>132465</v>
      </c>
      <c r="C135" s="9">
        <v>133374</v>
      </c>
      <c r="D135" s="9">
        <v>134155</v>
      </c>
      <c r="E135" s="9">
        <v>134850</v>
      </c>
      <c r="F135" s="9">
        <v>135234</v>
      </c>
      <c r="G135" s="9">
        <v>135484</v>
      </c>
      <c r="H135" s="9">
        <v>135224</v>
      </c>
      <c r="I135" s="9">
        <v>135793</v>
      </c>
      <c r="J135" s="9">
        <v>136265</v>
      </c>
      <c r="K135" s="9">
        <v>136633</v>
      </c>
      <c r="L135" s="9">
        <v>136810</v>
      </c>
      <c r="M135" s="9">
        <v>0</v>
      </c>
      <c r="N135" s="17">
        <f t="shared" si="5"/>
        <v>1486287</v>
      </c>
      <c r="O135" s="9">
        <v>1349477</v>
      </c>
      <c r="P135" s="9">
        <f t="shared" si="6"/>
        <v>-136810</v>
      </c>
    </row>
    <row r="136" spans="1:16" x14ac:dyDescent="0.25">
      <c r="A136" s="2" t="s">
        <v>150</v>
      </c>
      <c r="B136" s="9">
        <v>132465</v>
      </c>
      <c r="C136" s="9">
        <v>133374</v>
      </c>
      <c r="D136" s="9">
        <v>134155</v>
      </c>
      <c r="E136" s="9">
        <v>134850</v>
      </c>
      <c r="F136" s="9">
        <v>135234</v>
      </c>
      <c r="G136" s="9">
        <v>135484</v>
      </c>
      <c r="H136" s="9">
        <v>135224</v>
      </c>
      <c r="I136" s="9">
        <v>135793</v>
      </c>
      <c r="J136" s="9">
        <v>136265</v>
      </c>
      <c r="K136" s="9">
        <v>136633</v>
      </c>
      <c r="L136" s="9">
        <v>136810</v>
      </c>
      <c r="M136" s="9">
        <v>0</v>
      </c>
      <c r="N136" s="17">
        <f t="shared" si="5"/>
        <v>1486287</v>
      </c>
      <c r="O136" s="9">
        <v>1349477</v>
      </c>
      <c r="P136" s="9">
        <f t="shared" si="6"/>
        <v>-136810</v>
      </c>
    </row>
    <row r="137" spans="1:16" x14ac:dyDescent="0.25">
      <c r="A137" s="2" t="s">
        <v>151</v>
      </c>
      <c r="B137" s="9">
        <v>82219</v>
      </c>
      <c r="C137" s="9">
        <v>82784</v>
      </c>
      <c r="D137" s="9">
        <v>83268</v>
      </c>
      <c r="E137" s="9">
        <v>83700</v>
      </c>
      <c r="F137" s="9">
        <v>83938</v>
      </c>
      <c r="G137" s="9">
        <v>84093</v>
      </c>
      <c r="H137" s="9">
        <v>83932</v>
      </c>
      <c r="I137" s="9">
        <v>84285</v>
      </c>
      <c r="J137" s="9">
        <v>84578</v>
      </c>
      <c r="K137" s="9">
        <v>84808</v>
      </c>
      <c r="L137" s="9">
        <v>84916</v>
      </c>
      <c r="M137" s="9">
        <v>0</v>
      </c>
      <c r="N137" s="17">
        <f t="shared" si="5"/>
        <v>922521</v>
      </c>
      <c r="O137" s="9">
        <v>837605</v>
      </c>
      <c r="P137" s="9">
        <f t="shared" si="6"/>
        <v>-84916</v>
      </c>
    </row>
    <row r="138" spans="1:16" x14ac:dyDescent="0.25">
      <c r="A138" s="2" t="s">
        <v>152</v>
      </c>
      <c r="B138" s="9">
        <v>100491</v>
      </c>
      <c r="C138" s="9">
        <v>181167</v>
      </c>
      <c r="D138" s="9">
        <v>101772</v>
      </c>
      <c r="E138" s="9">
        <v>102300</v>
      </c>
      <c r="F138" s="9">
        <v>102591</v>
      </c>
      <c r="G138" s="9">
        <v>102780</v>
      </c>
      <c r="H138" s="9">
        <v>102584</v>
      </c>
      <c r="I138" s="9">
        <v>103018</v>
      </c>
      <c r="J138" s="9">
        <v>103373</v>
      </c>
      <c r="K138" s="9">
        <v>103654</v>
      </c>
      <c r="L138" s="9">
        <v>103787</v>
      </c>
      <c r="M138" s="9">
        <v>0</v>
      </c>
      <c r="N138" s="17">
        <f t="shared" si="5"/>
        <v>1207517</v>
      </c>
      <c r="O138" s="9">
        <v>1103730</v>
      </c>
      <c r="P138" s="9">
        <f t="shared" si="6"/>
        <v>-103787</v>
      </c>
    </row>
    <row r="139" spans="1:16" x14ac:dyDescent="0.25">
      <c r="A139" s="2" t="s">
        <v>153</v>
      </c>
      <c r="B139" s="9">
        <v>77707</v>
      </c>
      <c r="C139" s="9">
        <v>77880</v>
      </c>
      <c r="D139" s="9">
        <v>78551</v>
      </c>
      <c r="E139" s="9">
        <v>78879</v>
      </c>
      <c r="F139" s="9">
        <v>79218</v>
      </c>
      <c r="G139" s="9">
        <v>79347</v>
      </c>
      <c r="H139" s="9">
        <v>79485</v>
      </c>
      <c r="I139" s="9">
        <v>79259</v>
      </c>
      <c r="J139" s="9">
        <v>79856</v>
      </c>
      <c r="K139" s="9">
        <v>79880</v>
      </c>
      <c r="L139" s="9">
        <v>80168</v>
      </c>
      <c r="M139" s="9">
        <v>0</v>
      </c>
      <c r="N139" s="17">
        <f t="shared" si="5"/>
        <v>870230</v>
      </c>
      <c r="O139" s="9">
        <v>791351</v>
      </c>
      <c r="P139" s="9">
        <f t="shared" si="6"/>
        <v>-78879</v>
      </c>
    </row>
    <row r="140" spans="1:16" x14ac:dyDescent="0.25">
      <c r="A140" s="2" t="s">
        <v>154</v>
      </c>
      <c r="B140" s="9">
        <v>196693</v>
      </c>
      <c r="C140" s="9">
        <v>196350</v>
      </c>
      <c r="D140" s="9">
        <v>198148</v>
      </c>
      <c r="E140" s="9">
        <v>199073</v>
      </c>
      <c r="F140" s="9">
        <v>200148</v>
      </c>
      <c r="G140" s="9">
        <v>200571</v>
      </c>
      <c r="H140" s="9">
        <v>200956</v>
      </c>
      <c r="I140" s="9">
        <v>200323</v>
      </c>
      <c r="J140" s="9">
        <v>202048</v>
      </c>
      <c r="K140" s="9">
        <v>202048</v>
      </c>
      <c r="L140" s="9">
        <v>202752</v>
      </c>
      <c r="M140" s="9">
        <v>0</v>
      </c>
      <c r="N140" s="17">
        <f t="shared" si="5"/>
        <v>2199110</v>
      </c>
      <c r="O140" s="9">
        <v>1996358</v>
      </c>
      <c r="P140" s="9">
        <f t="shared" si="6"/>
        <v>-202752</v>
      </c>
    </row>
    <row r="141" spans="1:16" x14ac:dyDescent="0.25">
      <c r="A141" s="2" t="s">
        <v>155</v>
      </c>
      <c r="B141" s="9">
        <v>53801</v>
      </c>
      <c r="C141" s="9">
        <v>53749</v>
      </c>
      <c r="D141" s="9">
        <v>54312</v>
      </c>
      <c r="E141" s="9">
        <v>54501</v>
      </c>
      <c r="F141" s="9">
        <v>54798</v>
      </c>
      <c r="G141" s="9">
        <v>54897</v>
      </c>
      <c r="H141" s="9">
        <v>54999</v>
      </c>
      <c r="I141" s="9">
        <v>54850</v>
      </c>
      <c r="J141" s="9">
        <v>55280</v>
      </c>
      <c r="K141" s="9">
        <v>55280</v>
      </c>
      <c r="L141" s="9">
        <v>55465</v>
      </c>
      <c r="M141" s="9">
        <v>0</v>
      </c>
      <c r="N141" s="17">
        <f t="shared" si="5"/>
        <v>601932</v>
      </c>
      <c r="O141" s="9">
        <v>0</v>
      </c>
      <c r="P141" s="9">
        <f t="shared" si="6"/>
        <v>-601932</v>
      </c>
    </row>
    <row r="142" spans="1:16" x14ac:dyDescent="0.25">
      <c r="A142" s="2" t="s">
        <v>156</v>
      </c>
      <c r="B142" s="9">
        <v>109725</v>
      </c>
      <c r="C142" s="9">
        <v>109691</v>
      </c>
      <c r="D142" s="9">
        <v>110839</v>
      </c>
      <c r="E142" s="9">
        <v>111247</v>
      </c>
      <c r="F142" s="9">
        <v>111810</v>
      </c>
      <c r="G142" s="9">
        <v>111810</v>
      </c>
      <c r="H142" s="9">
        <v>112214</v>
      </c>
      <c r="I142" s="9">
        <v>111895</v>
      </c>
      <c r="J142" s="9">
        <v>112511</v>
      </c>
      <c r="K142" s="9">
        <v>112772</v>
      </c>
      <c r="L142" s="9">
        <v>113223</v>
      </c>
      <c r="M142" s="9">
        <v>0</v>
      </c>
      <c r="N142" s="17">
        <f t="shared" si="5"/>
        <v>1227737</v>
      </c>
      <c r="O142" s="9">
        <v>894455</v>
      </c>
      <c r="P142" s="9">
        <f t="shared" si="6"/>
        <v>-333282</v>
      </c>
    </row>
    <row r="143" spans="1:16" x14ac:dyDescent="0.25">
      <c r="A143" s="2" t="s">
        <v>157</v>
      </c>
      <c r="B143" s="9">
        <v>60000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17">
        <f t="shared" si="5"/>
        <v>60000</v>
      </c>
      <c r="O143" s="9">
        <v>0</v>
      </c>
      <c r="P143" s="9">
        <f t="shared" si="6"/>
        <v>-60000</v>
      </c>
    </row>
    <row r="144" spans="1:16" x14ac:dyDescent="0.25">
      <c r="A144" s="2" t="s">
        <v>158</v>
      </c>
      <c r="B144" s="9">
        <v>283219</v>
      </c>
      <c r="C144" s="9">
        <v>460426</v>
      </c>
      <c r="D144" s="9">
        <v>518845</v>
      </c>
      <c r="E144" s="9">
        <v>524097</v>
      </c>
      <c r="F144" s="9">
        <v>525186</v>
      </c>
      <c r="G144" s="9">
        <v>383091</v>
      </c>
      <c r="H144" s="9">
        <v>465658</v>
      </c>
      <c r="I144" s="9">
        <v>383967</v>
      </c>
      <c r="J144" s="9">
        <v>385301</v>
      </c>
      <c r="K144" s="9">
        <v>386343</v>
      </c>
      <c r="L144" s="9">
        <v>671170</v>
      </c>
      <c r="M144" s="9">
        <v>0</v>
      </c>
      <c r="N144" s="17">
        <f t="shared" si="5"/>
        <v>4987303</v>
      </c>
      <c r="O144" s="9">
        <v>3929790</v>
      </c>
      <c r="P144" s="9">
        <f t="shared" si="6"/>
        <v>-1057513</v>
      </c>
    </row>
    <row r="145" spans="1:16" x14ac:dyDescent="0.25">
      <c r="A145" s="2" t="s">
        <v>159</v>
      </c>
      <c r="B145" s="9">
        <v>64035</v>
      </c>
      <c r="C145" s="9">
        <v>63920</v>
      </c>
      <c r="D145" s="9">
        <v>64563</v>
      </c>
      <c r="E145" s="9">
        <v>64831</v>
      </c>
      <c r="F145" s="9">
        <v>65214</v>
      </c>
      <c r="G145" s="9">
        <v>65332</v>
      </c>
      <c r="H145" s="9">
        <v>65436</v>
      </c>
      <c r="I145" s="9">
        <v>65230</v>
      </c>
      <c r="J145" s="9">
        <v>65783</v>
      </c>
      <c r="K145" s="9">
        <v>65783</v>
      </c>
      <c r="L145" s="9">
        <v>66046</v>
      </c>
      <c r="M145" s="9">
        <v>0</v>
      </c>
      <c r="N145" s="17">
        <f t="shared" si="5"/>
        <v>716173</v>
      </c>
      <c r="O145" s="9">
        <v>650127</v>
      </c>
      <c r="P145" s="9">
        <f t="shared" si="6"/>
        <v>-66046</v>
      </c>
    </row>
    <row r="146" spans="1:16" x14ac:dyDescent="0.25">
      <c r="A146" s="2" t="s">
        <v>160</v>
      </c>
      <c r="B146" s="9">
        <v>45740</v>
      </c>
      <c r="C146" s="9">
        <v>45657</v>
      </c>
      <c r="D146" s="9">
        <v>46117</v>
      </c>
      <c r="E146" s="9">
        <v>46308</v>
      </c>
      <c r="F146" s="9">
        <v>46581</v>
      </c>
      <c r="G146" s="9">
        <v>46666</v>
      </c>
      <c r="H146" s="9">
        <v>46740</v>
      </c>
      <c r="I146" s="9">
        <v>46593</v>
      </c>
      <c r="J146" s="9">
        <v>46988</v>
      </c>
      <c r="K146" s="9">
        <v>46988</v>
      </c>
      <c r="L146" s="9">
        <v>47175</v>
      </c>
      <c r="M146" s="9">
        <v>0</v>
      </c>
      <c r="N146" s="17">
        <f t="shared" si="5"/>
        <v>511553</v>
      </c>
      <c r="O146" s="9">
        <v>464378</v>
      </c>
      <c r="P146" s="9">
        <f t="shared" si="6"/>
        <v>-47175</v>
      </c>
    </row>
    <row r="147" spans="1:16" x14ac:dyDescent="0.25">
      <c r="A147" s="2" t="s">
        <v>161</v>
      </c>
      <c r="B147" s="9">
        <v>59461</v>
      </c>
      <c r="C147" s="9">
        <v>59354</v>
      </c>
      <c r="D147" s="9">
        <v>59952</v>
      </c>
      <c r="E147" s="9">
        <v>60200</v>
      </c>
      <c r="F147" s="9">
        <v>60556</v>
      </c>
      <c r="G147" s="9">
        <v>60665</v>
      </c>
      <c r="H147" s="9">
        <v>60763</v>
      </c>
      <c r="I147" s="9">
        <v>60571</v>
      </c>
      <c r="J147" s="9">
        <v>61084</v>
      </c>
      <c r="K147" s="9">
        <v>61084</v>
      </c>
      <c r="L147" s="9">
        <v>61329</v>
      </c>
      <c r="M147" s="9">
        <v>0</v>
      </c>
      <c r="N147" s="17">
        <f t="shared" si="5"/>
        <v>665019</v>
      </c>
      <c r="O147" s="9">
        <v>605000</v>
      </c>
      <c r="P147" s="9">
        <f t="shared" si="6"/>
        <v>-60019</v>
      </c>
    </row>
    <row r="148" spans="1:16" x14ac:dyDescent="0.25">
      <c r="A148" s="2" t="s">
        <v>162</v>
      </c>
      <c r="B148" s="9">
        <v>82331</v>
      </c>
      <c r="C148" s="9">
        <v>82183</v>
      </c>
      <c r="D148" s="9">
        <v>83011</v>
      </c>
      <c r="E148" s="9">
        <v>83354</v>
      </c>
      <c r="F148" s="9">
        <v>83846</v>
      </c>
      <c r="G148" s="9">
        <v>83999</v>
      </c>
      <c r="H148" s="9">
        <v>84132</v>
      </c>
      <c r="I148" s="9">
        <v>83868</v>
      </c>
      <c r="J148" s="9">
        <v>84578</v>
      </c>
      <c r="K148" s="9">
        <v>84578</v>
      </c>
      <c r="L148" s="9">
        <v>84916</v>
      </c>
      <c r="M148" s="9">
        <v>0</v>
      </c>
      <c r="N148" s="17">
        <f t="shared" si="5"/>
        <v>920796</v>
      </c>
      <c r="O148" s="9">
        <v>835880</v>
      </c>
      <c r="P148" s="9">
        <f t="shared" si="6"/>
        <v>-84916</v>
      </c>
    </row>
    <row r="149" spans="1:16" x14ac:dyDescent="0.25">
      <c r="A149" s="2" t="s">
        <v>163</v>
      </c>
      <c r="B149" s="9">
        <v>267750</v>
      </c>
      <c r="C149" s="9">
        <v>119000</v>
      </c>
      <c r="D149" s="9">
        <v>357000</v>
      </c>
      <c r="E149" s="9">
        <v>267750</v>
      </c>
      <c r="F149" s="9">
        <v>684250</v>
      </c>
      <c r="G149" s="9">
        <v>327250</v>
      </c>
      <c r="H149" s="9">
        <v>476000</v>
      </c>
      <c r="I149" s="9">
        <v>386750</v>
      </c>
      <c r="J149" s="9">
        <v>238000</v>
      </c>
      <c r="K149" s="9">
        <v>386750</v>
      </c>
      <c r="L149" s="9">
        <v>208250</v>
      </c>
      <c r="M149" s="9">
        <v>0</v>
      </c>
      <c r="N149" s="17">
        <f t="shared" si="5"/>
        <v>3718750</v>
      </c>
      <c r="O149" s="9">
        <v>2971500</v>
      </c>
      <c r="P149" s="9">
        <f t="shared" si="6"/>
        <v>-747250</v>
      </c>
    </row>
    <row r="150" spans="1:16" x14ac:dyDescent="0.25">
      <c r="A150" s="2" t="s">
        <v>164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84139</v>
      </c>
      <c r="I150" s="9">
        <v>83834</v>
      </c>
      <c r="J150" s="9">
        <v>84554</v>
      </c>
      <c r="K150" s="9">
        <v>84578</v>
      </c>
      <c r="L150" s="9">
        <v>84884</v>
      </c>
      <c r="M150" s="9">
        <v>0</v>
      </c>
      <c r="N150" s="17">
        <f t="shared" si="5"/>
        <v>421989</v>
      </c>
      <c r="O150" s="9">
        <v>0</v>
      </c>
      <c r="P150" s="9">
        <f t="shared" si="6"/>
        <v>-421989</v>
      </c>
    </row>
    <row r="151" spans="1:16" x14ac:dyDescent="0.25">
      <c r="A151" s="2" t="s">
        <v>165</v>
      </c>
      <c r="B151" s="9">
        <v>77742</v>
      </c>
      <c r="C151" s="9">
        <v>77727</v>
      </c>
      <c r="D151" s="9">
        <v>78470</v>
      </c>
      <c r="E151" s="9">
        <v>78754</v>
      </c>
      <c r="F151" s="9">
        <v>79115</v>
      </c>
      <c r="G151" s="9">
        <v>79291</v>
      </c>
      <c r="H151" s="9">
        <v>79474</v>
      </c>
      <c r="I151" s="9">
        <v>79212</v>
      </c>
      <c r="J151" s="9">
        <v>79718</v>
      </c>
      <c r="K151" s="9">
        <v>79880</v>
      </c>
      <c r="L151" s="9">
        <v>80137</v>
      </c>
      <c r="M151" s="9">
        <v>80199</v>
      </c>
      <c r="N151" s="17">
        <f t="shared" si="5"/>
        <v>949719</v>
      </c>
      <c r="O151" s="9">
        <v>869520</v>
      </c>
      <c r="P151" s="9">
        <f t="shared" si="6"/>
        <v>-80199</v>
      </c>
    </row>
    <row r="152" spans="1:16" x14ac:dyDescent="0.25">
      <c r="A152" s="2" t="s">
        <v>166</v>
      </c>
      <c r="B152" s="9">
        <v>264963</v>
      </c>
      <c r="C152" s="9">
        <v>265189</v>
      </c>
      <c r="D152" s="9">
        <v>268206</v>
      </c>
      <c r="E152" s="9">
        <v>269340</v>
      </c>
      <c r="F152" s="9">
        <v>270468</v>
      </c>
      <c r="G152" s="9">
        <v>270967</v>
      </c>
      <c r="H152" s="9">
        <v>270624</v>
      </c>
      <c r="I152" s="9">
        <v>271587</v>
      </c>
      <c r="J152" s="9">
        <v>272530</v>
      </c>
      <c r="K152" s="9">
        <v>273057</v>
      </c>
      <c r="L152" s="9">
        <v>273620</v>
      </c>
      <c r="M152" s="9">
        <v>0</v>
      </c>
      <c r="N152" s="17">
        <f t="shared" si="5"/>
        <v>2970551</v>
      </c>
      <c r="O152" s="9">
        <v>2696931</v>
      </c>
      <c r="P152" s="9">
        <f t="shared" si="6"/>
        <v>-273620</v>
      </c>
    </row>
    <row r="153" spans="1:16" x14ac:dyDescent="0.25">
      <c r="A153" s="2" t="s">
        <v>167</v>
      </c>
      <c r="B153" s="9">
        <v>60000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17">
        <f t="shared" si="5"/>
        <v>60000</v>
      </c>
      <c r="O153" s="9">
        <v>0</v>
      </c>
      <c r="P153" s="9">
        <f t="shared" si="6"/>
        <v>-60000</v>
      </c>
    </row>
  </sheetData>
  <phoneticPr fontId="21" type="noConversion"/>
  <conditionalFormatting sqref="B2:P153">
    <cfRule type="cellIs" dxfId="0" priority="1" operator="equal">
      <formula>"$"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0" zoomScaleNormal="80" workbookViewId="0">
      <selection activeCell="A11" sqref="A11:XFD11"/>
    </sheetView>
  </sheetViews>
  <sheetFormatPr baseColWidth="10" defaultRowHeight="15" x14ac:dyDescent="0.25"/>
  <cols>
    <col min="2" max="2" width="13" bestFit="1" customWidth="1"/>
    <col min="3" max="3" width="12" bestFit="1" customWidth="1"/>
    <col min="4" max="4" width="13.85546875" customWidth="1"/>
  </cols>
  <sheetData>
    <row r="1" spans="1:4" x14ac:dyDescent="0.25">
      <c r="A1" s="4" t="s">
        <v>169</v>
      </c>
      <c r="B1" s="4" t="s">
        <v>168</v>
      </c>
      <c r="C1" s="4" t="s">
        <v>24</v>
      </c>
      <c r="D1" s="4" t="s">
        <v>14</v>
      </c>
    </row>
    <row r="2" spans="1:4" x14ac:dyDescent="0.25">
      <c r="A2" s="1" t="s">
        <v>1</v>
      </c>
      <c r="B2" s="9">
        <v>3842560</v>
      </c>
      <c r="C2" s="9">
        <v>2807600</v>
      </c>
      <c r="D2" s="9">
        <f>+C2-B2</f>
        <v>-1034960</v>
      </c>
    </row>
    <row r="3" spans="1:4" x14ac:dyDescent="0.25">
      <c r="A3" s="1" t="s">
        <v>2</v>
      </c>
      <c r="B3" s="9">
        <v>2658900</v>
      </c>
      <c r="C3" s="9">
        <v>1279200</v>
      </c>
      <c r="D3" s="9">
        <f t="shared" ref="D3:D10" si="0">+C3-B3</f>
        <v>-1379700</v>
      </c>
    </row>
    <row r="4" spans="1:4" x14ac:dyDescent="0.25">
      <c r="A4" s="1" t="s">
        <v>3</v>
      </c>
      <c r="B4" s="9">
        <v>2696560</v>
      </c>
      <c r="C4" s="9">
        <v>2536568</v>
      </c>
      <c r="D4" s="9">
        <f t="shared" si="0"/>
        <v>-159992</v>
      </c>
    </row>
    <row r="5" spans="1:4" x14ac:dyDescent="0.25">
      <c r="A5" s="1" t="s">
        <v>4</v>
      </c>
      <c r="B5" s="9">
        <v>1908750</v>
      </c>
      <c r="C5" s="9">
        <v>1645950</v>
      </c>
      <c r="D5" s="9">
        <f t="shared" si="0"/>
        <v>-262800</v>
      </c>
    </row>
    <row r="6" spans="1:4" x14ac:dyDescent="0.25">
      <c r="A6" s="1" t="s">
        <v>5</v>
      </c>
      <c r="B6" s="9">
        <v>1541200</v>
      </c>
      <c r="C6" s="9">
        <v>1248400</v>
      </c>
      <c r="D6" s="9">
        <f t="shared" si="0"/>
        <v>-292800</v>
      </c>
    </row>
    <row r="7" spans="1:4" x14ac:dyDescent="0.25">
      <c r="A7" s="1" t="s">
        <v>170</v>
      </c>
      <c r="B7" s="9">
        <v>1586940</v>
      </c>
      <c r="C7" s="9">
        <v>1456940</v>
      </c>
      <c r="D7" s="9">
        <f t="shared" si="0"/>
        <v>-130000</v>
      </c>
    </row>
    <row r="8" spans="1:4" x14ac:dyDescent="0.25">
      <c r="A8" s="1" t="s">
        <v>171</v>
      </c>
      <c r="B8" s="9">
        <v>3240300</v>
      </c>
      <c r="C8" s="9">
        <v>2813200</v>
      </c>
      <c r="D8" s="9">
        <f t="shared" si="0"/>
        <v>-427100</v>
      </c>
    </row>
    <row r="9" spans="1:4" x14ac:dyDescent="0.25">
      <c r="A9" s="1" t="s">
        <v>11</v>
      </c>
      <c r="B9" s="9">
        <v>2680650</v>
      </c>
      <c r="C9" s="9">
        <v>1308500</v>
      </c>
      <c r="D9" s="9">
        <f t="shared" si="0"/>
        <v>-1372150</v>
      </c>
    </row>
    <row r="10" spans="1:4" x14ac:dyDescent="0.25">
      <c r="A10" s="1" t="s">
        <v>12</v>
      </c>
      <c r="B10" s="9">
        <v>537100</v>
      </c>
      <c r="C10" s="9">
        <v>90000</v>
      </c>
      <c r="D10" s="9">
        <f t="shared" si="0"/>
        <v>-447100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Clientes</vt:lpstr>
      <vt:lpstr>Clientes Unicos</vt:lpstr>
    </vt:vector>
  </TitlesOfParts>
  <Manager/>
  <Company>GED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</dc:creator>
  <cp:keywords/>
  <dc:description/>
  <cp:lastModifiedBy>ASUS</cp:lastModifiedBy>
  <cp:revision/>
  <dcterms:created xsi:type="dcterms:W3CDTF">2012-03-29T13:06:23Z</dcterms:created>
  <dcterms:modified xsi:type="dcterms:W3CDTF">2025-12-15T19:39:12Z</dcterms:modified>
  <cp:category/>
  <cp:contentStatus/>
</cp:coreProperties>
</file>